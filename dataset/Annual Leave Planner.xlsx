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Qatar_Executive_Jet\Technical_Operations\Engineering\1-CAMO\CAMO Roster\"/>
    </mc:Choice>
  </mc:AlternateContent>
  <xr:revisionPtr revIDLastSave="0" documentId="13_ncr:1_{E52B6AAC-482C-4994-AACC-7F463DF6754D}" xr6:coauthVersionLast="47" xr6:coauthVersionMax="47" xr10:uidLastSave="{00000000-0000-0000-0000-000000000000}"/>
  <bookViews>
    <workbookView xWindow="28680" yWindow="-120" windowWidth="29040" windowHeight="15720" xr2:uid="{890F6E1B-57B8-4EAC-B0ED-14F1341D512F}"/>
  </bookViews>
  <sheets>
    <sheet name="QE CAMOLeavePlanner" sheetId="1" r:id="rId1"/>
  </sheets>
  <definedNames>
    <definedName name="_xlnm.Print_Area" localSheetId="0">'QE CAMOLeavePlanner'!$A$1:$AJ$292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9" i="1" l="1"/>
  <c r="B183" i="1"/>
  <c r="B214" i="1"/>
  <c r="B187" i="1"/>
  <c r="B161" i="1"/>
  <c r="AI263" i="1" l="1"/>
  <c r="AJ263" i="1"/>
  <c r="AI149" i="1"/>
  <c r="AI290" i="1"/>
  <c r="AJ290" i="1" s="1"/>
  <c r="AI264" i="1"/>
  <c r="AJ264" i="1"/>
  <c r="AI292" i="1" l="1"/>
  <c r="AJ292" i="1" s="1"/>
  <c r="AI287" i="1"/>
  <c r="AI288" i="1"/>
  <c r="AI289" i="1"/>
  <c r="AJ289" i="1" s="1"/>
  <c r="AI291" i="1"/>
  <c r="AI261" i="1"/>
  <c r="AI262" i="1"/>
  <c r="AI265" i="1"/>
  <c r="AI266" i="1"/>
  <c r="AJ266" i="1" s="1"/>
  <c r="AI235" i="1"/>
  <c r="AJ235" i="1" s="1"/>
  <c r="B261" i="1" s="1"/>
  <c r="AI236" i="1"/>
  <c r="AI237" i="1"/>
  <c r="AJ237" i="1"/>
  <c r="AI238" i="1"/>
  <c r="AJ238" i="1" s="1"/>
  <c r="AI239" i="1"/>
  <c r="AI240" i="1"/>
  <c r="AI209" i="1"/>
  <c r="AJ209" i="1" s="1"/>
  <c r="AI210" i="1"/>
  <c r="AJ210" i="1" s="1"/>
  <c r="AI211" i="1"/>
  <c r="AI212" i="1"/>
  <c r="AJ212" i="1" s="1"/>
  <c r="AI213" i="1"/>
  <c r="AI214" i="1"/>
  <c r="AJ214" i="1" s="1"/>
  <c r="B240" i="1" s="1"/>
  <c r="AI183" i="1"/>
  <c r="AJ183" i="1" s="1"/>
  <c r="AI184" i="1"/>
  <c r="AJ184" i="1" s="1"/>
  <c r="AI185" i="1"/>
  <c r="AI186" i="1"/>
  <c r="AJ186" i="1" s="1"/>
  <c r="AI187" i="1"/>
  <c r="AJ187" i="1"/>
  <c r="AI188" i="1"/>
  <c r="AI132" i="1"/>
  <c r="AJ132" i="1" s="1"/>
  <c r="AI133" i="1"/>
  <c r="AI134" i="1"/>
  <c r="AI135" i="1"/>
  <c r="AJ135" i="1" s="1"/>
  <c r="AI159" i="1"/>
  <c r="AJ159" i="1" s="1"/>
  <c r="AI160" i="1"/>
  <c r="AI161" i="1"/>
  <c r="AJ161" i="1" s="1"/>
  <c r="AJ261" i="1" l="1"/>
  <c r="B287" i="1" s="1"/>
  <c r="AJ287" i="1" s="1"/>
  <c r="B313" i="1" s="1"/>
  <c r="AJ240" i="1"/>
  <c r="AI156" i="1"/>
  <c r="AJ156" i="1" s="1"/>
  <c r="AI158" i="1" l="1"/>
  <c r="AI316" i="1"/>
  <c r="B316" i="1"/>
  <c r="AI256" i="1"/>
  <c r="AI230" i="1"/>
  <c r="AI204" i="1"/>
  <c r="AI282" i="1"/>
  <c r="AI310" i="1"/>
  <c r="B310" i="1"/>
  <c r="AI308" i="1"/>
  <c r="B308" i="1"/>
  <c r="AI305" i="1"/>
  <c r="B305" i="1"/>
  <c r="AI279" i="1"/>
  <c r="AI284" i="1"/>
  <c r="AI258" i="1"/>
  <c r="AI253" i="1"/>
  <c r="AI232" i="1"/>
  <c r="AI227" i="1"/>
  <c r="AI206" i="1"/>
  <c r="AJ316" i="1" l="1"/>
  <c r="AJ310" i="1"/>
  <c r="AJ308" i="1"/>
  <c r="AJ305" i="1"/>
  <c r="AI174" i="1" l="1"/>
  <c r="AI180" i="1"/>
  <c r="AI178" i="1"/>
  <c r="AI201" i="1"/>
  <c r="AI153" i="1"/>
  <c r="AI151" i="1"/>
  <c r="AI272" i="1"/>
  <c r="AI273" i="1"/>
  <c r="AI274" i="1"/>
  <c r="AI275" i="1"/>
  <c r="AI246" i="1"/>
  <c r="AI247" i="1"/>
  <c r="AI248" i="1"/>
  <c r="AI249" i="1"/>
  <c r="AI220" i="1"/>
  <c r="AI221" i="1"/>
  <c r="AI222" i="1"/>
  <c r="AI223" i="1"/>
  <c r="AI194" i="1"/>
  <c r="AI195" i="1"/>
  <c r="AI196" i="1"/>
  <c r="AI197" i="1"/>
  <c r="AI167" i="1"/>
  <c r="AI168" i="1"/>
  <c r="AI169" i="1"/>
  <c r="AI170" i="1"/>
  <c r="AI141" i="1"/>
  <c r="AI142" i="1"/>
  <c r="AI143" i="1"/>
  <c r="AI144" i="1"/>
  <c r="AI116" i="1"/>
  <c r="AI117" i="1"/>
  <c r="AI118" i="1"/>
  <c r="AI119" i="1"/>
  <c r="AI93" i="1"/>
  <c r="AI94" i="1"/>
  <c r="AI95" i="1"/>
  <c r="AI96" i="1"/>
  <c r="AI70" i="1"/>
  <c r="AJ70" i="1" s="1"/>
  <c r="B93" i="1" s="1"/>
  <c r="AI71" i="1"/>
  <c r="AI72" i="1"/>
  <c r="AI73" i="1"/>
  <c r="AJ73" i="1" s="1"/>
  <c r="B96" i="1" s="1"/>
  <c r="AI74" i="1"/>
  <c r="AI299" i="1"/>
  <c r="B299" i="1"/>
  <c r="AI297" i="1"/>
  <c r="B297" i="1"/>
  <c r="AI271" i="1"/>
  <c r="AI245" i="1"/>
  <c r="AI219" i="1"/>
  <c r="AI193" i="1"/>
  <c r="AI166" i="1"/>
  <c r="AI140" i="1"/>
  <c r="AI115" i="1"/>
  <c r="AI92" i="1"/>
  <c r="AI69" i="1"/>
  <c r="B17" i="1"/>
  <c r="B20" i="1"/>
  <c r="AJ93" i="1" l="1"/>
  <c r="B116" i="1" s="1"/>
  <c r="AJ116" i="1" s="1"/>
  <c r="B141" i="1" s="1"/>
  <c r="AJ141" i="1" s="1"/>
  <c r="B167" i="1" s="1"/>
  <c r="AJ167" i="1" s="1"/>
  <c r="B194" i="1" s="1"/>
  <c r="AJ194" i="1" s="1"/>
  <c r="B220" i="1" s="1"/>
  <c r="AJ220" i="1" s="1"/>
  <c r="B246" i="1" s="1"/>
  <c r="AJ246" i="1" s="1"/>
  <c r="B272" i="1" s="1"/>
  <c r="AJ272" i="1" s="1"/>
  <c r="AJ96" i="1"/>
  <c r="B119" i="1" s="1"/>
  <c r="AJ119" i="1" s="1"/>
  <c r="B144" i="1" s="1"/>
  <c r="AJ144" i="1" s="1"/>
  <c r="B170" i="1" s="1"/>
  <c r="AJ170" i="1" s="1"/>
  <c r="B197" i="1" s="1"/>
  <c r="AJ197" i="1" s="1"/>
  <c r="B223" i="1" s="1"/>
  <c r="AJ223" i="1" s="1"/>
  <c r="B249" i="1" s="1"/>
  <c r="AJ249" i="1" s="1"/>
  <c r="B275" i="1" s="1"/>
  <c r="AJ275" i="1" s="1"/>
  <c r="AJ299" i="1"/>
  <c r="AJ297" i="1"/>
  <c r="B7" i="1"/>
  <c r="B12" i="1" l="1"/>
  <c r="B18" i="1" l="1"/>
  <c r="B13" i="1"/>
  <c r="AI127" i="1" l="1"/>
  <c r="AI128" i="1"/>
  <c r="AI104" i="1"/>
  <c r="AI81" i="1"/>
  <c r="AI58" i="1"/>
  <c r="AI37" i="1"/>
  <c r="AI16" i="1"/>
  <c r="B22" i="1"/>
  <c r="AJ16" i="1" l="1"/>
  <c r="B37" i="1" s="1"/>
  <c r="AJ37" i="1" s="1"/>
  <c r="B58" i="1" s="1"/>
  <c r="AJ58" i="1" s="1"/>
  <c r="B81" i="1" s="1"/>
  <c r="AJ81" i="1" s="1"/>
  <c r="B104" i="1" s="1"/>
  <c r="AJ104" i="1" s="1"/>
  <c r="B127" i="1" s="1"/>
  <c r="AJ127" i="1" s="1"/>
  <c r="B151" i="1" s="1"/>
  <c r="AI5" i="1" l="1"/>
  <c r="B6" i="1"/>
  <c r="AI6" i="1"/>
  <c r="AI7" i="1"/>
  <c r="AJ7" i="1" s="1"/>
  <c r="B28" i="1" s="1"/>
  <c r="AI8" i="1"/>
  <c r="AJ8" i="1" s="1"/>
  <c r="B29" i="1" s="1"/>
  <c r="AI9" i="1"/>
  <c r="AJ9" i="1" s="1"/>
  <c r="B30" i="1" s="1"/>
  <c r="AI10" i="1"/>
  <c r="AJ10" i="1" s="1"/>
  <c r="B31" i="1" s="1"/>
  <c r="AI11" i="1"/>
  <c r="AJ11" i="1" s="1"/>
  <c r="B32" i="1" s="1"/>
  <c r="AI12" i="1"/>
  <c r="AJ12" i="1" s="1"/>
  <c r="B33" i="1" s="1"/>
  <c r="AI13" i="1"/>
  <c r="AJ13" i="1" s="1"/>
  <c r="B34" i="1" s="1"/>
  <c r="AI14" i="1"/>
  <c r="AJ14" i="1" s="1"/>
  <c r="B35" i="1" s="1"/>
  <c r="AI15" i="1"/>
  <c r="AI17" i="1"/>
  <c r="AJ17" i="1" s="1"/>
  <c r="B38" i="1" s="1"/>
  <c r="AI18" i="1"/>
  <c r="AJ18" i="1" s="1"/>
  <c r="B39" i="1" s="1"/>
  <c r="B19" i="1"/>
  <c r="AI19" i="1"/>
  <c r="AI20" i="1"/>
  <c r="B21" i="1"/>
  <c r="AI21" i="1"/>
  <c r="AI22" i="1"/>
  <c r="AI26" i="1"/>
  <c r="AI27" i="1"/>
  <c r="AI28" i="1"/>
  <c r="AI29" i="1"/>
  <c r="AI30" i="1"/>
  <c r="AI31" i="1"/>
  <c r="AI32" i="1"/>
  <c r="AI33" i="1"/>
  <c r="AI34" i="1"/>
  <c r="AI35" i="1"/>
  <c r="AI36" i="1"/>
  <c r="AI38" i="1"/>
  <c r="AI39" i="1"/>
  <c r="AI40" i="1"/>
  <c r="AI41" i="1"/>
  <c r="AI42" i="1"/>
  <c r="AI43" i="1"/>
  <c r="AI47" i="1"/>
  <c r="AI48" i="1"/>
  <c r="AI49" i="1"/>
  <c r="AI50" i="1"/>
  <c r="AI51" i="1"/>
  <c r="AI52" i="1"/>
  <c r="AI53" i="1"/>
  <c r="AI54" i="1"/>
  <c r="AI55" i="1"/>
  <c r="AI56" i="1"/>
  <c r="AI57" i="1"/>
  <c r="AI59" i="1"/>
  <c r="AI60" i="1"/>
  <c r="AI61" i="1"/>
  <c r="AI62" i="1"/>
  <c r="AI63" i="1"/>
  <c r="AI64" i="1"/>
  <c r="AI68" i="1"/>
  <c r="AI75" i="1"/>
  <c r="AI76" i="1"/>
  <c r="AI77" i="1"/>
  <c r="AI78" i="1"/>
  <c r="AI79" i="1"/>
  <c r="AI80" i="1"/>
  <c r="AI82" i="1"/>
  <c r="AI83" i="1"/>
  <c r="AI84" i="1"/>
  <c r="AI85" i="1"/>
  <c r="AI86" i="1"/>
  <c r="AI87" i="1"/>
  <c r="AI91" i="1"/>
  <c r="AI97" i="1"/>
  <c r="AI98" i="1"/>
  <c r="AI99" i="1"/>
  <c r="AI100" i="1"/>
  <c r="AI101" i="1"/>
  <c r="AI102" i="1"/>
  <c r="AI103" i="1"/>
  <c r="AI105" i="1"/>
  <c r="AI106" i="1"/>
  <c r="AI107" i="1"/>
  <c r="AI108" i="1"/>
  <c r="AI109" i="1"/>
  <c r="AI110" i="1"/>
  <c r="AI114" i="1"/>
  <c r="AI120" i="1"/>
  <c r="AI121" i="1"/>
  <c r="AI122" i="1"/>
  <c r="AI123" i="1"/>
  <c r="AI124" i="1"/>
  <c r="AI125" i="1"/>
  <c r="AI126" i="1"/>
  <c r="AI129" i="1"/>
  <c r="AI130" i="1"/>
  <c r="AI131" i="1"/>
  <c r="AI139" i="1"/>
  <c r="AI145" i="1"/>
  <c r="AI146" i="1"/>
  <c r="AI147" i="1"/>
  <c r="AI148" i="1"/>
  <c r="AI150" i="1"/>
  <c r="AI152" i="1"/>
  <c r="AI154" i="1"/>
  <c r="AI155" i="1"/>
  <c r="AI157" i="1"/>
  <c r="AI165" i="1"/>
  <c r="AI171" i="1"/>
  <c r="AI172" i="1"/>
  <c r="AI173" i="1"/>
  <c r="AI175" i="1"/>
  <c r="AI176" i="1"/>
  <c r="AI177" i="1"/>
  <c r="AI179" i="1"/>
  <c r="AI181" i="1"/>
  <c r="AI182" i="1"/>
  <c r="AI192" i="1"/>
  <c r="AI198" i="1"/>
  <c r="AI199" i="1"/>
  <c r="AI200" i="1"/>
  <c r="AI202" i="1"/>
  <c r="AI203" i="1"/>
  <c r="AI205" i="1"/>
  <c r="AI207" i="1"/>
  <c r="AI208" i="1"/>
  <c r="AI218" i="1"/>
  <c r="AI224" i="1"/>
  <c r="AI225" i="1"/>
  <c r="AI226" i="1"/>
  <c r="AI228" i="1"/>
  <c r="AI229" i="1"/>
  <c r="AI231" i="1"/>
  <c r="AI233" i="1"/>
  <c r="AI234" i="1"/>
  <c r="AI244" i="1"/>
  <c r="AI250" i="1"/>
  <c r="AI251" i="1"/>
  <c r="AI252" i="1"/>
  <c r="AI254" i="1"/>
  <c r="AI255" i="1"/>
  <c r="AI257" i="1"/>
  <c r="AI259" i="1"/>
  <c r="AI260" i="1"/>
  <c r="AI270" i="1"/>
  <c r="AI276" i="1"/>
  <c r="AI277" i="1"/>
  <c r="AI278" i="1"/>
  <c r="AI280" i="1"/>
  <c r="AI281" i="1"/>
  <c r="AI283" i="1"/>
  <c r="AI285" i="1"/>
  <c r="AI286" i="1"/>
  <c r="B296" i="1"/>
  <c r="AI296" i="1"/>
  <c r="AI300" i="1"/>
  <c r="B302" i="1"/>
  <c r="AI302" i="1"/>
  <c r="B303" i="1"/>
  <c r="AI303" i="1"/>
  <c r="B304" i="1"/>
  <c r="AI304" i="1"/>
  <c r="B306" i="1"/>
  <c r="AI306" i="1"/>
  <c r="B307" i="1"/>
  <c r="AI307" i="1"/>
  <c r="B309" i="1"/>
  <c r="AI309" i="1"/>
  <c r="B311" i="1"/>
  <c r="AI311" i="1"/>
  <c r="B312" i="1"/>
  <c r="AI312" i="1"/>
  <c r="B314" i="1"/>
  <c r="AI314" i="1"/>
  <c r="AJ309" i="1" l="1"/>
  <c r="AJ304" i="1"/>
  <c r="AJ15" i="1"/>
  <c r="AJ302" i="1"/>
  <c r="AJ306" i="1"/>
  <c r="AJ22" i="1"/>
  <c r="B43" i="1" s="1"/>
  <c r="AJ43" i="1" s="1"/>
  <c r="B64" i="1" s="1"/>
  <c r="AJ64" i="1" s="1"/>
  <c r="B87" i="1" s="1"/>
  <c r="AJ87" i="1" s="1"/>
  <c r="B110" i="1" s="1"/>
  <c r="AJ110" i="1" s="1"/>
  <c r="AJ312" i="1"/>
  <c r="AJ33" i="1"/>
  <c r="B54" i="1" s="1"/>
  <c r="AJ54" i="1" s="1"/>
  <c r="B77" i="1" s="1"/>
  <c r="AJ77" i="1" s="1"/>
  <c r="B100" i="1" s="1"/>
  <c r="AJ100" i="1" s="1"/>
  <c r="B123" i="1" s="1"/>
  <c r="AJ123" i="1" s="1"/>
  <c r="B148" i="1" s="1"/>
  <c r="AJ148" i="1" s="1"/>
  <c r="B175" i="1" s="1"/>
  <c r="AJ175" i="1" s="1"/>
  <c r="AJ296" i="1"/>
  <c r="AJ32" i="1"/>
  <c r="B53" i="1" s="1"/>
  <c r="AJ53" i="1" s="1"/>
  <c r="B76" i="1" s="1"/>
  <c r="AJ76" i="1" s="1"/>
  <c r="B99" i="1" s="1"/>
  <c r="AJ99" i="1" s="1"/>
  <c r="B122" i="1" s="1"/>
  <c r="AJ122" i="1" s="1"/>
  <c r="B147" i="1" s="1"/>
  <c r="AJ147" i="1" s="1"/>
  <c r="AJ311" i="1"/>
  <c r="AJ30" i="1"/>
  <c r="B51" i="1" s="1"/>
  <c r="AJ51" i="1" s="1"/>
  <c r="B74" i="1" s="1"/>
  <c r="AJ74" i="1" s="1"/>
  <c r="B97" i="1" s="1"/>
  <c r="AJ97" i="1" s="1"/>
  <c r="B120" i="1" s="1"/>
  <c r="AJ120" i="1" s="1"/>
  <c r="B145" i="1" s="1"/>
  <c r="AJ145" i="1" s="1"/>
  <c r="B171" i="1" s="1"/>
  <c r="AJ171" i="1" s="1"/>
  <c r="B198" i="1" s="1"/>
  <c r="AJ198" i="1" s="1"/>
  <c r="B224" i="1" s="1"/>
  <c r="AJ224" i="1" s="1"/>
  <c r="B250" i="1" s="1"/>
  <c r="AJ250" i="1" s="1"/>
  <c r="B276" i="1" s="1"/>
  <c r="AJ276" i="1" s="1"/>
  <c r="AJ31" i="1"/>
  <c r="B52" i="1" s="1"/>
  <c r="AJ52" i="1" s="1"/>
  <c r="B75" i="1" s="1"/>
  <c r="AJ75" i="1" s="1"/>
  <c r="B98" i="1" s="1"/>
  <c r="AJ98" i="1" s="1"/>
  <c r="B121" i="1" s="1"/>
  <c r="AJ121" i="1" s="1"/>
  <c r="B146" i="1" s="1"/>
  <c r="AJ146" i="1" s="1"/>
  <c r="B172" i="1" s="1"/>
  <c r="AJ172" i="1" s="1"/>
  <c r="B199" i="1" s="1"/>
  <c r="AJ199" i="1" s="1"/>
  <c r="B225" i="1" s="1"/>
  <c r="AJ225" i="1" s="1"/>
  <c r="B251" i="1" s="1"/>
  <c r="AJ251" i="1" s="1"/>
  <c r="B277" i="1" s="1"/>
  <c r="AJ277" i="1" s="1"/>
  <c r="AJ39" i="1"/>
  <c r="B60" i="1" s="1"/>
  <c r="AJ60" i="1" s="1"/>
  <c r="B83" i="1" s="1"/>
  <c r="AJ83" i="1" s="1"/>
  <c r="B106" i="1" s="1"/>
  <c r="AJ106" i="1" s="1"/>
  <c r="B129" i="1" s="1"/>
  <c r="AJ129" i="1" s="1"/>
  <c r="AJ29" i="1"/>
  <c r="B50" i="1" s="1"/>
  <c r="AJ50" i="1" s="1"/>
  <c r="B69" i="1" s="1"/>
  <c r="AJ314" i="1"/>
  <c r="AJ6" i="1"/>
  <c r="B27" i="1" s="1"/>
  <c r="AJ27" i="1" s="1"/>
  <c r="B48" i="1" s="1"/>
  <c r="AJ48" i="1" s="1"/>
  <c r="AJ35" i="1"/>
  <c r="B56" i="1" s="1"/>
  <c r="AJ56" i="1" s="1"/>
  <c r="B79" i="1" s="1"/>
  <c r="AJ79" i="1" s="1"/>
  <c r="B102" i="1" s="1"/>
  <c r="AJ102" i="1" s="1"/>
  <c r="B125" i="1" s="1"/>
  <c r="AJ125" i="1" s="1"/>
  <c r="AJ34" i="1"/>
  <c r="B55" i="1" s="1"/>
  <c r="AJ55" i="1" s="1"/>
  <c r="B78" i="1" s="1"/>
  <c r="AJ78" i="1" s="1"/>
  <c r="B101" i="1" s="1"/>
  <c r="AJ101" i="1" s="1"/>
  <c r="B124" i="1" s="1"/>
  <c r="AJ124" i="1" s="1"/>
  <c r="B149" i="1" s="1"/>
  <c r="AJ5" i="1"/>
  <c r="B26" i="1" s="1"/>
  <c r="AJ26" i="1" s="1"/>
  <c r="B47" i="1" s="1"/>
  <c r="AJ47" i="1" s="1"/>
  <c r="AJ19" i="1"/>
  <c r="B40" i="1" s="1"/>
  <c r="AJ40" i="1" s="1"/>
  <c r="B61" i="1" s="1"/>
  <c r="AJ61" i="1" s="1"/>
  <c r="B84" i="1" s="1"/>
  <c r="AJ84" i="1" s="1"/>
  <c r="B107" i="1" s="1"/>
  <c r="AJ107" i="1" s="1"/>
  <c r="B130" i="1" s="1"/>
  <c r="AJ130" i="1" s="1"/>
  <c r="B157" i="1" s="1"/>
  <c r="AJ157" i="1" s="1"/>
  <c r="B174" i="1" s="1"/>
  <c r="AJ20" i="1"/>
  <c r="B41" i="1" s="1"/>
  <c r="AJ41" i="1" s="1"/>
  <c r="B62" i="1" s="1"/>
  <c r="AJ62" i="1" s="1"/>
  <c r="B85" i="1" s="1"/>
  <c r="AJ85" i="1" s="1"/>
  <c r="B108" i="1" s="1"/>
  <c r="AJ108" i="1" s="1"/>
  <c r="AJ38" i="1"/>
  <c r="B59" i="1" s="1"/>
  <c r="AJ59" i="1" s="1"/>
  <c r="B82" i="1" s="1"/>
  <c r="AJ82" i="1" s="1"/>
  <c r="B105" i="1" s="1"/>
  <c r="AJ105" i="1" s="1"/>
  <c r="AJ21" i="1"/>
  <c r="B42" i="1" s="1"/>
  <c r="AJ42" i="1" s="1"/>
  <c r="B63" i="1" s="1"/>
  <c r="AJ63" i="1" s="1"/>
  <c r="B86" i="1" s="1"/>
  <c r="AJ86" i="1" s="1"/>
  <c r="B109" i="1" s="1"/>
  <c r="AJ109" i="1" s="1"/>
  <c r="B133" i="1" s="1"/>
  <c r="AJ28" i="1"/>
  <c r="B49" i="1" s="1"/>
  <c r="AJ49" i="1" s="1"/>
  <c r="B71" i="1" s="1"/>
  <c r="AJ71" i="1" s="1"/>
  <c r="B94" i="1" s="1"/>
  <c r="AJ94" i="1" s="1"/>
  <c r="B117" i="1" s="1"/>
  <c r="AJ117" i="1" s="1"/>
  <c r="B142" i="1" s="1"/>
  <c r="AJ142" i="1" s="1"/>
  <c r="B168" i="1" s="1"/>
  <c r="AJ168" i="1" s="1"/>
  <c r="B195" i="1" s="1"/>
  <c r="AJ195" i="1" s="1"/>
  <c r="B221" i="1" s="1"/>
  <c r="AJ221" i="1" s="1"/>
  <c r="B247" i="1" s="1"/>
  <c r="AJ247" i="1" s="1"/>
  <c r="B273" i="1" s="1"/>
  <c r="AJ273" i="1" s="1"/>
  <c r="AJ307" i="1"/>
  <c r="AJ303" i="1"/>
  <c r="AJ149" i="1" l="1"/>
  <c r="B176" i="1" s="1"/>
  <c r="AJ176" i="1" s="1"/>
  <c r="B202" i="1" s="1"/>
  <c r="AJ202" i="1" s="1"/>
  <c r="B228" i="1" s="1"/>
  <c r="AJ228" i="1" s="1"/>
  <c r="B254" i="1" s="1"/>
  <c r="AJ254" i="1" s="1"/>
  <c r="B280" i="1" s="1"/>
  <c r="AJ280" i="1" s="1"/>
  <c r="AJ133" i="1"/>
  <c r="B153" i="1" s="1"/>
  <c r="AJ153" i="1" s="1"/>
  <c r="B180" i="1" s="1"/>
  <c r="AJ180" i="1" s="1"/>
  <c r="B206" i="1" s="1"/>
  <c r="AJ206" i="1" s="1"/>
  <c r="B232" i="1" s="1"/>
  <c r="AJ232" i="1" s="1"/>
  <c r="B258" i="1" s="1"/>
  <c r="AJ258" i="1" s="1"/>
  <c r="B284" i="1" s="1"/>
  <c r="AJ284" i="1" s="1"/>
  <c r="B131" i="1"/>
  <c r="AJ131" i="1" s="1"/>
  <c r="B158" i="1" s="1"/>
  <c r="B134" i="1"/>
  <c r="AJ134" i="1" s="1"/>
  <c r="B160" i="1"/>
  <c r="B155" i="1"/>
  <c r="AJ155" i="1" s="1"/>
  <c r="B182" i="1" s="1"/>
  <c r="AJ182" i="1" s="1"/>
  <c r="B208" i="1" s="1"/>
  <c r="AJ158" i="1"/>
  <c r="B185" i="1" s="1"/>
  <c r="B173" i="1"/>
  <c r="AJ173" i="1" s="1"/>
  <c r="AJ174" i="1"/>
  <c r="B201" i="1" s="1"/>
  <c r="B150" i="1"/>
  <c r="AJ150" i="1" s="1"/>
  <c r="B177" i="1" s="1"/>
  <c r="AJ177" i="1" s="1"/>
  <c r="B203" i="1" s="1"/>
  <c r="AJ203" i="1" s="1"/>
  <c r="B229" i="1" s="1"/>
  <c r="AJ151" i="1"/>
  <c r="B178" i="1" s="1"/>
  <c r="AJ178" i="1" s="1"/>
  <c r="B204" i="1" s="1"/>
  <c r="AJ204" i="1" s="1"/>
  <c r="B230" i="1" s="1"/>
  <c r="AJ230" i="1" s="1"/>
  <c r="B256" i="1" s="1"/>
  <c r="AJ256" i="1" s="1"/>
  <c r="B282" i="1" s="1"/>
  <c r="AJ282" i="1" s="1"/>
  <c r="B72" i="1"/>
  <c r="AJ72" i="1" s="1"/>
  <c r="B95" i="1" s="1"/>
  <c r="AJ95" i="1" s="1"/>
  <c r="B118" i="1" s="1"/>
  <c r="AJ118" i="1" s="1"/>
  <c r="B143" i="1" s="1"/>
  <c r="B68" i="1"/>
  <c r="AJ68" i="1" s="1"/>
  <c r="B91" i="1" s="1"/>
  <c r="AJ91" i="1" s="1"/>
  <c r="B114" i="1" s="1"/>
  <c r="AJ114" i="1" s="1"/>
  <c r="B139" i="1" s="1"/>
  <c r="AJ139" i="1" s="1"/>
  <c r="B165" i="1" s="1"/>
  <c r="AJ165" i="1" s="1"/>
  <c r="B192" i="1" s="1"/>
  <c r="AJ192" i="1" s="1"/>
  <c r="B218" i="1" s="1"/>
  <c r="AJ218" i="1" s="1"/>
  <c r="B244" i="1" s="1"/>
  <c r="AJ244" i="1" s="1"/>
  <c r="B270" i="1" s="1"/>
  <c r="AJ270" i="1" s="1"/>
  <c r="AJ69" i="1"/>
  <c r="B92" i="1" s="1"/>
  <c r="AJ92" i="1" s="1"/>
  <c r="B115" i="1" s="1"/>
  <c r="AJ115" i="1" s="1"/>
  <c r="B140" i="1" s="1"/>
  <c r="AJ140" i="1" s="1"/>
  <c r="B166" i="1" s="1"/>
  <c r="AJ166" i="1" s="1"/>
  <c r="B193" i="1" s="1"/>
  <c r="AJ193" i="1" s="1"/>
  <c r="B219" i="1" s="1"/>
  <c r="AJ219" i="1" s="1"/>
  <c r="B245" i="1" s="1"/>
  <c r="AJ245" i="1" s="1"/>
  <c r="B271" i="1" s="1"/>
  <c r="AJ271" i="1" s="1"/>
  <c r="B36" i="1"/>
  <c r="AJ36" i="1" s="1"/>
  <c r="B57" i="1" s="1"/>
  <c r="AJ57" i="1" s="1"/>
  <c r="B80" i="1" s="1"/>
  <c r="AJ80" i="1" s="1"/>
  <c r="B103" i="1" s="1"/>
  <c r="AJ103" i="1" s="1"/>
  <c r="B126" i="1" s="1"/>
  <c r="AJ126" i="1" s="1"/>
  <c r="B152" i="1" s="1"/>
  <c r="AJ152" i="1" s="1"/>
  <c r="B179" i="1" s="1"/>
  <c r="AJ179" i="1" s="1"/>
  <c r="B205" i="1" s="1"/>
  <c r="AJ205" i="1" s="1"/>
  <c r="B231" i="1" s="1"/>
  <c r="B128" i="1"/>
  <c r="AJ128" i="1" s="1"/>
  <c r="AJ154" i="1" s="1"/>
  <c r="B181" i="1" s="1"/>
  <c r="AJ181" i="1" s="1"/>
  <c r="B207" i="1" s="1"/>
  <c r="AJ185" i="1" l="1"/>
  <c r="B211" i="1" s="1"/>
  <c r="AJ211" i="1" s="1"/>
  <c r="B236" i="1" s="1"/>
  <c r="AJ236" i="1" s="1"/>
  <c r="AJ160" i="1"/>
  <c r="B188" i="1" s="1"/>
  <c r="AJ229" i="1"/>
  <c r="B255" i="1" s="1"/>
  <c r="AJ255" i="1" s="1"/>
  <c r="B281" i="1" s="1"/>
  <c r="AJ281" i="1" s="1"/>
  <c r="AJ201" i="1"/>
  <c r="B227" i="1" s="1"/>
  <c r="AJ227" i="1" s="1"/>
  <c r="B253" i="1" s="1"/>
  <c r="AJ253" i="1" s="1"/>
  <c r="B279" i="1" s="1"/>
  <c r="AJ279" i="1" s="1"/>
  <c r="AJ208" i="1"/>
  <c r="B234" i="1" s="1"/>
  <c r="AJ207" i="1"/>
  <c r="B233" i="1" s="1"/>
  <c r="AJ231" i="1"/>
  <c r="B257" i="1" s="1"/>
  <c r="AJ257" i="1" s="1"/>
  <c r="B283" i="1" s="1"/>
  <c r="AJ283" i="1" s="1"/>
  <c r="B200" i="1"/>
  <c r="AJ200" i="1" s="1"/>
  <c r="B226" i="1" s="1"/>
  <c r="AJ226" i="1" s="1"/>
  <c r="B252" i="1" s="1"/>
  <c r="AJ252" i="1" s="1"/>
  <c r="B278" i="1" s="1"/>
  <c r="AJ278" i="1" s="1"/>
  <c r="AJ143" i="1"/>
  <c r="B169" i="1" s="1"/>
  <c r="AJ188" i="1" l="1"/>
  <c r="B213" i="1" s="1"/>
  <c r="AJ233" i="1"/>
  <c r="B259" i="1" s="1"/>
  <c r="AJ259" i="1" s="1"/>
  <c r="B285" i="1" s="1"/>
  <c r="AJ285" i="1" s="1"/>
  <c r="AJ234" i="1"/>
  <c r="B260" i="1" s="1"/>
  <c r="AJ260" i="1" s="1"/>
  <c r="B286" i="1" s="1"/>
  <c r="AJ286" i="1" s="1"/>
  <c r="B262" i="1"/>
  <c r="AJ169" i="1"/>
  <c r="B196" i="1" s="1"/>
  <c r="AJ213" i="1" l="1"/>
  <c r="B239" i="1" s="1"/>
  <c r="AJ262" i="1"/>
  <c r="B288" i="1" s="1"/>
  <c r="AJ288" i="1" s="1"/>
  <c r="AJ196" i="1"/>
  <c r="B222" i="1" s="1"/>
  <c r="AJ239" i="1" l="1"/>
  <c r="B265" i="1" s="1"/>
  <c r="AJ222" i="1"/>
  <c r="B248" i="1" s="1"/>
  <c r="AJ265" i="1" l="1"/>
  <c r="B291" i="1" s="1"/>
  <c r="AJ291" i="1" s="1"/>
  <c r="AJ248" i="1"/>
  <c r="B274" i="1" s="1"/>
  <c r="AJ274" i="1" l="1"/>
  <c r="B300" i="1" s="1"/>
  <c r="AJ30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Elezabeth Thomas</author>
  </authors>
  <commentList>
    <comment ref="G157" authorId="0" shapeId="0" xr:uid="{7A1CE16A-9919-412B-AB18-4FCB07BD1F6B}">
      <text>
        <r>
          <rPr>
            <b/>
            <sz val="9"/>
            <color indexed="81"/>
            <rFont val="Tahoma"/>
            <family val="2"/>
          </rPr>
          <t>Elezabeth Thomas:</t>
        </r>
        <r>
          <rPr>
            <sz val="9"/>
            <color indexed="81"/>
            <rFont val="Tahoma"/>
            <family val="2"/>
          </rPr>
          <t xml:space="preserve">
DT</t>
        </r>
      </text>
    </comment>
  </commentList>
</comments>
</file>

<file path=xl/sharedStrings.xml><?xml version="1.0" encoding="utf-8"?>
<sst xmlns="http://schemas.openxmlformats.org/spreadsheetml/2006/main" count="9066" uniqueCount="50">
  <si>
    <t>OFF</t>
  </si>
  <si>
    <t>A</t>
  </si>
  <si>
    <t>D</t>
  </si>
  <si>
    <t>Gatot</t>
  </si>
  <si>
    <t xml:space="preserve">Ra'ed </t>
  </si>
  <si>
    <t>Qadir</t>
  </si>
  <si>
    <t>Madhumita</t>
  </si>
  <si>
    <t>Sara</t>
  </si>
  <si>
    <t>Muawia</t>
  </si>
  <si>
    <t>Rendra</t>
  </si>
  <si>
    <t>Devan</t>
  </si>
  <si>
    <t>Abdallah</t>
  </si>
  <si>
    <t>Hamdy</t>
  </si>
  <si>
    <t>Tabish</t>
  </si>
  <si>
    <t>Muhammad Umar</t>
  </si>
  <si>
    <t xml:space="preserve">Genaro </t>
  </si>
  <si>
    <t>Yassir</t>
  </si>
  <si>
    <t>Kumari</t>
  </si>
  <si>
    <t>Munish</t>
  </si>
  <si>
    <t>Sadiq</t>
  </si>
  <si>
    <t>Leave Balance</t>
  </si>
  <si>
    <t># of Vac for the month</t>
  </si>
  <si>
    <t>Thu</t>
  </si>
  <si>
    <t>Wed</t>
  </si>
  <si>
    <t>Tue</t>
  </si>
  <si>
    <t>Mon</t>
  </si>
  <si>
    <t>Sun</t>
  </si>
  <si>
    <t>Sat</t>
  </si>
  <si>
    <t>Fri</t>
  </si>
  <si>
    <t xml:space="preserve"># of days for the year </t>
  </si>
  <si>
    <t>Staff Name</t>
  </si>
  <si>
    <t>V</t>
  </si>
  <si>
    <t>LEAVE PLAN APRIL 2025 - MARCH 2026</t>
  </si>
  <si>
    <t xml:space="preserve">Euphracia Kalii </t>
  </si>
  <si>
    <t>QE CAMO</t>
  </si>
  <si>
    <t>DIL</t>
  </si>
  <si>
    <t>Abbas</t>
  </si>
  <si>
    <t>Nidheesh</t>
  </si>
  <si>
    <t>CL</t>
  </si>
  <si>
    <t>Noel</t>
  </si>
  <si>
    <t>Rono</t>
  </si>
  <si>
    <t>PV</t>
  </si>
  <si>
    <t>sick</t>
  </si>
  <si>
    <t>Marlon</t>
  </si>
  <si>
    <t xml:space="preserve">Rono </t>
  </si>
  <si>
    <t>Geoffrey Rono</t>
  </si>
  <si>
    <t>Joanna</t>
  </si>
  <si>
    <t>FL</t>
  </si>
  <si>
    <t>BL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</si>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</sst>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D6"/>
      <name val="Bahnschrift SemiBold"/>
      <family val="2"/>
    </font>
    <font>
      <b/>
      <sz val="11"/>
      <color rgb="FF0070C0"/>
      <name val="Bahnschrift SemiBold"/>
      <family val="2"/>
    </font>
    <font>
      <b/>
      <sz val="11"/>
      <color theme="1"/>
      <name val="Bahnschrift SemiBold"/>
      <family val="2"/>
    </font>
    <font>
      <b/>
      <sz val="16"/>
      <color theme="0"/>
      <name val="Arial"/>
      <family val="2"/>
    </font>
    <font>
      <b/>
      <sz val="11"/>
      <color rgb="FF002060"/>
      <name val="Bahnschrift SemiBold"/>
      <family val="2"/>
    </font>
    <font>
      <b/>
      <sz val="11"/>
      <color theme="5" tint="-0.249977111117893"/>
      <name val="Bahnschrift SemiBold"/>
      <family val="2"/>
    </font>
    <font>
      <b/>
      <sz val="11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sz val="11"/>
      <color theme="1"/>
      <name val="Bahnschrift SemiBold"/>
      <family val="2"/>
    </font>
    <font>
      <b/>
      <sz val="16"/>
      <color rgb="FF7030A0"/>
      <name val="Arial"/>
      <family val="2"/>
    </font>
    <font>
      <b/>
      <sz val="16"/>
      <color rgb="FFC00000"/>
      <name val="Arial"/>
      <family val="2"/>
    </font>
    <font>
      <b/>
      <sz val="16"/>
      <color theme="9" tint="-0.499984740745262"/>
      <name val="Arial"/>
      <family val="2"/>
    </font>
    <font>
      <b/>
      <sz val="16"/>
      <color rgb="FF002060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1"/>
      <color rgb="FF3B4E3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8EBFC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0"/>
        </stop>
        <stop position="0.5">
          <color rgb="FFC00000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90">
        <stop position="0">
          <color theme="4" tint="0.80001220740379042"/>
        </stop>
        <stop position="1">
          <color theme="4" tint="0.40000610370189521"/>
        </stop>
      </gradientFill>
    </fill>
    <fill>
      <gradientFill degree="90">
        <stop position="0">
          <color theme="0"/>
        </stop>
        <stop position="0.5">
          <color rgb="FF7030A0"/>
        </stop>
        <stop position="1">
          <color theme="0"/>
        </stop>
      </gradientFill>
    </fill>
    <fill>
      <patternFill patternType="darkGray">
        <bgColor theme="0" tint="-0.34998626667073579"/>
      </patternFill>
    </fill>
    <fill>
      <gradientFill degree="90">
        <stop position="0">
          <color theme="0"/>
        </stop>
        <stop position="0.5">
          <color rgb="FFBC8FDD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C5FF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5" tint="-0.2509842219306009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5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5" tint="0.80001220740379042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8" tint="-0.2509842219306009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8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8" tint="0.80001220740379042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9" tint="0.59999389629810485"/>
        </stop>
        <stop position="1">
          <color theme="0"/>
        </stop>
      </gradient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0"/>
        </stop>
        <stop position="0.5">
          <color rgb="FFE0FC88"/>
        </stop>
        <stop position="1">
          <color theme="0"/>
        </stop>
      </gradient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6" xfId="0" applyNumberFormat="1" applyFont="1" applyFill="1" applyBorder="1" applyAlignment="1" applyProtection="1">
      <alignment horizontal="center" vertical="center"/>
    </xf>
    <xf numFmtId="0" fontId="6" fillId="4" borderId="7" xfId="0" applyFont="1" applyFill="1" applyBorder="1" applyAlignment="1" applyProtection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6" fillId="4" borderId="14" xfId="0" applyNumberFormat="1" applyFont="1" applyFill="1" applyBorder="1" applyAlignment="1" applyProtection="1">
      <alignment horizontal="center" vertical="center"/>
    </xf>
    <xf numFmtId="0" fontId="6" fillId="4" borderId="13" xfId="0" applyFont="1" applyFill="1" applyBorder="1" applyAlignment="1" applyProtection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 applyProtection="1">
      <alignment horizontal="center" vertical="center"/>
    </xf>
    <xf numFmtId="0" fontId="6" fillId="7" borderId="2" xfId="0" applyFont="1" applyFill="1" applyBorder="1" applyAlignment="1" applyProtection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6" fillId="7" borderId="6" xfId="0" applyNumberFormat="1" applyFont="1" applyFill="1" applyBorder="1" applyAlignment="1" applyProtection="1">
      <alignment horizontal="center" vertical="center"/>
    </xf>
    <xf numFmtId="0" fontId="6" fillId="7" borderId="7" xfId="0" applyFont="1" applyFill="1" applyBorder="1" applyAlignment="1" applyProtection="1">
      <alignment horizontal="left" vertical="center"/>
    </xf>
    <xf numFmtId="0" fontId="7" fillId="6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6" fillId="7" borderId="14" xfId="0" applyNumberFormat="1" applyFont="1" applyFill="1" applyBorder="1" applyAlignment="1" applyProtection="1">
      <alignment horizontal="center" vertical="center"/>
    </xf>
    <xf numFmtId="0" fontId="6" fillId="7" borderId="13" xfId="0" applyFont="1" applyFill="1" applyBorder="1" applyAlignment="1" applyProtection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1" xfId="0" applyNumberFormat="1" applyFont="1" applyFill="1" applyBorder="1" applyAlignment="1" applyProtection="1">
      <alignment horizontal="center" vertical="center"/>
    </xf>
    <xf numFmtId="0" fontId="6" fillId="8" borderId="2" xfId="0" applyFont="1" applyFill="1" applyBorder="1" applyAlignment="1" applyProtection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6" fillId="8" borderId="6" xfId="0" applyNumberFormat="1" applyFont="1" applyFill="1" applyBorder="1" applyAlignment="1" applyProtection="1">
      <alignment horizontal="center" vertical="center"/>
    </xf>
    <xf numFmtId="0" fontId="6" fillId="8" borderId="7" xfId="0" applyFont="1" applyFill="1" applyBorder="1" applyAlignment="1" applyProtection="1">
      <alignment horizontal="left" vertical="center"/>
    </xf>
    <xf numFmtId="0" fontId="3" fillId="6" borderId="11" xfId="0" applyFont="1" applyFill="1" applyBorder="1" applyAlignment="1">
      <alignment horizontal="center" vertical="center"/>
    </xf>
    <xf numFmtId="0" fontId="6" fillId="8" borderId="14" xfId="0" applyNumberFormat="1" applyFont="1" applyFill="1" applyBorder="1" applyAlignment="1" applyProtection="1">
      <alignment horizontal="center" vertical="center"/>
    </xf>
    <xf numFmtId="0" fontId="6" fillId="8" borderId="13" xfId="0" applyFont="1" applyFill="1" applyBorder="1" applyAlignment="1" applyProtection="1">
      <alignment horizontal="left" vertical="center"/>
    </xf>
    <xf numFmtId="0" fontId="6" fillId="9" borderId="1" xfId="0" applyNumberFormat="1" applyFont="1" applyFill="1" applyBorder="1" applyAlignment="1" applyProtection="1">
      <alignment horizontal="center" vertical="center"/>
    </xf>
    <xf numFmtId="0" fontId="6" fillId="9" borderId="2" xfId="0" applyFont="1" applyFill="1" applyBorder="1" applyAlignment="1" applyProtection="1">
      <alignment horizontal="left" vertical="center"/>
    </xf>
    <xf numFmtId="0" fontId="6" fillId="9" borderId="6" xfId="0" applyNumberFormat="1" applyFont="1" applyFill="1" applyBorder="1" applyAlignment="1" applyProtection="1">
      <alignment horizontal="center" vertical="center"/>
    </xf>
    <xf numFmtId="0" fontId="6" fillId="9" borderId="7" xfId="0" applyFont="1" applyFill="1" applyBorder="1" applyAlignment="1" applyProtection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6" fillId="9" borderId="14" xfId="0" applyNumberFormat="1" applyFont="1" applyFill="1" applyBorder="1" applyAlignment="1" applyProtection="1">
      <alignment horizontal="center" vertical="center"/>
    </xf>
    <xf numFmtId="0" fontId="6" fillId="9" borderId="13" xfId="0" applyFont="1" applyFill="1" applyBorder="1" applyAlignment="1" applyProtection="1">
      <alignment horizontal="left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0" fillId="6" borderId="14" xfId="0" applyFont="1" applyFill="1" applyBorder="1" applyAlignment="1" applyProtection="1">
      <alignment horizontal="center" vertical="center"/>
    </xf>
    <xf numFmtId="0" fontId="10" fillId="6" borderId="11" xfId="0" applyFont="1" applyFill="1" applyBorder="1" applyAlignment="1" applyProtection="1">
      <alignment horizontal="center" vertical="center"/>
    </xf>
    <xf numFmtId="0" fontId="10" fillId="6" borderId="12" xfId="0" applyFont="1" applyFill="1" applyBorder="1" applyAlignment="1" applyProtection="1">
      <alignment horizontal="center" vertical="center"/>
    </xf>
    <xf numFmtId="0" fontId="10" fillId="6" borderId="20" xfId="0" applyFont="1" applyFill="1" applyBorder="1" applyAlignment="1" applyProtection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0" fillId="6" borderId="13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12" borderId="28" xfId="0" applyFont="1" applyFill="1" applyBorder="1" applyAlignment="1">
      <alignment vertical="center"/>
    </xf>
    <xf numFmtId="0" fontId="12" fillId="12" borderId="29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2" fillId="12" borderId="31" xfId="0" applyFont="1" applyFill="1" applyBorder="1" applyAlignment="1">
      <alignment vertical="center"/>
    </xf>
    <xf numFmtId="0" fontId="12" fillId="12" borderId="0" xfId="0" applyFont="1" applyFill="1" applyBorder="1" applyAlignment="1">
      <alignment vertical="center"/>
    </xf>
    <xf numFmtId="0" fontId="12" fillId="12" borderId="32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2" fillId="12" borderId="33" xfId="0" applyFont="1" applyFill="1" applyBorder="1" applyAlignment="1">
      <alignment vertical="center"/>
    </xf>
    <xf numFmtId="0" fontId="12" fillId="12" borderId="34" xfId="0" applyFont="1" applyFill="1" applyBorder="1" applyAlignment="1">
      <alignment vertical="center"/>
    </xf>
    <xf numFmtId="0" fontId="12" fillId="12" borderId="35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vertical="center"/>
    </xf>
    <xf numFmtId="0" fontId="12" fillId="12" borderId="10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" fillId="23" borderId="15" xfId="0" applyFont="1" applyFill="1" applyBorder="1" applyAlignment="1">
      <alignment horizontal="center" vertical="center"/>
    </xf>
    <xf numFmtId="0" fontId="1" fillId="23" borderId="17" xfId="0" applyFont="1" applyFill="1" applyBorder="1" applyAlignment="1">
      <alignment horizontal="center" vertical="center"/>
    </xf>
    <xf numFmtId="0" fontId="1" fillId="23" borderId="18" xfId="0" applyFont="1" applyFill="1" applyBorder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10" fillId="23" borderId="14" xfId="0" applyFont="1" applyFill="1" applyBorder="1" applyAlignment="1" applyProtection="1">
      <alignment horizontal="center" vertical="center"/>
    </xf>
    <xf numFmtId="0" fontId="10" fillId="23" borderId="12" xfId="0" applyFont="1" applyFill="1" applyBorder="1" applyAlignment="1" applyProtection="1">
      <alignment horizontal="center" vertical="center"/>
    </xf>
    <xf numFmtId="0" fontId="10" fillId="23" borderId="13" xfId="0" applyFont="1" applyFill="1" applyBorder="1" applyAlignment="1" applyProtection="1">
      <alignment horizontal="center" vertical="center"/>
    </xf>
    <xf numFmtId="0" fontId="6" fillId="4" borderId="36" xfId="0" applyNumberFormat="1" applyFont="1" applyFill="1" applyBorder="1" applyAlignment="1" applyProtection="1">
      <alignment horizontal="center" vertical="center"/>
    </xf>
    <xf numFmtId="0" fontId="6" fillId="4" borderId="38" xfId="0" applyFont="1" applyFill="1" applyBorder="1" applyAlignment="1" applyProtection="1">
      <alignment horizontal="left" vertical="center"/>
    </xf>
    <xf numFmtId="0" fontId="1" fillId="23" borderId="16" xfId="0" applyFont="1" applyFill="1" applyBorder="1" applyAlignment="1">
      <alignment horizontal="center" vertical="center"/>
    </xf>
    <xf numFmtId="0" fontId="10" fillId="23" borderId="11" xfId="0" applyFont="1" applyFill="1" applyBorder="1" applyAlignment="1" applyProtection="1">
      <alignment horizontal="center" vertical="center"/>
    </xf>
    <xf numFmtId="0" fontId="10" fillId="23" borderId="20" xfId="0" applyFont="1" applyFill="1" applyBorder="1" applyAlignment="1" applyProtection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/>
    </xf>
    <xf numFmtId="0" fontId="1" fillId="26" borderId="42" xfId="0" applyFont="1" applyFill="1" applyBorder="1" applyAlignment="1">
      <alignment horizontal="center" vertical="center"/>
    </xf>
    <xf numFmtId="0" fontId="19" fillId="6" borderId="41" xfId="0" applyFont="1" applyFill="1" applyBorder="1" applyAlignment="1">
      <alignment horizontal="center" vertical="center"/>
    </xf>
    <xf numFmtId="0" fontId="1" fillId="27" borderId="42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9" fillId="6" borderId="46" xfId="0" applyFont="1" applyFill="1" applyBorder="1" applyAlignment="1">
      <alignment horizontal="center" vertical="center"/>
    </xf>
    <xf numFmtId="0" fontId="19" fillId="6" borderId="47" xfId="0" applyFont="1" applyFill="1" applyBorder="1" applyAlignment="1">
      <alignment horizontal="center" vertical="center"/>
    </xf>
    <xf numFmtId="0" fontId="1" fillId="26" borderId="48" xfId="0" applyFont="1" applyFill="1" applyBorder="1" applyAlignment="1">
      <alignment horizontal="center" vertical="center"/>
    </xf>
    <xf numFmtId="0" fontId="19" fillId="6" borderId="49" xfId="0" applyFont="1" applyFill="1" applyBorder="1" applyAlignment="1">
      <alignment horizontal="center" vertical="center"/>
    </xf>
    <xf numFmtId="0" fontId="19" fillId="6" borderId="48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9" fillId="6" borderId="50" xfId="0" applyFont="1" applyFill="1" applyBorder="1" applyAlignment="1">
      <alignment horizontal="center" vertical="center"/>
    </xf>
    <xf numFmtId="0" fontId="1" fillId="26" borderId="43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6" fillId="9" borderId="39" xfId="0" applyFont="1" applyFill="1" applyBorder="1" applyAlignment="1" applyProtection="1">
      <alignment horizontal="left" vertical="center"/>
    </xf>
    <xf numFmtId="0" fontId="6" fillId="9" borderId="52" xfId="0" applyNumberFormat="1" applyFont="1" applyFill="1" applyBorder="1" applyAlignment="1" applyProtection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6" fillId="9" borderId="38" xfId="0" applyFont="1" applyFill="1" applyBorder="1" applyAlignment="1" applyProtection="1">
      <alignment horizontal="left" vertical="center"/>
    </xf>
    <xf numFmtId="0" fontId="6" fillId="9" borderId="25" xfId="0" applyFont="1" applyFill="1" applyBorder="1" applyAlignment="1" applyProtection="1">
      <alignment horizontal="left" vertical="center"/>
    </xf>
    <xf numFmtId="0" fontId="6" fillId="9" borderId="15" xfId="0" applyNumberFormat="1" applyFont="1" applyFill="1" applyBorder="1" applyAlignment="1" applyProtection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6" fillId="8" borderId="38" xfId="0" applyFont="1" applyFill="1" applyBorder="1" applyAlignment="1" applyProtection="1">
      <alignment horizontal="left" vertical="center"/>
    </xf>
    <xf numFmtId="0" fontId="6" fillId="8" borderId="36" xfId="0" applyNumberFormat="1" applyFont="1" applyFill="1" applyBorder="1" applyAlignment="1" applyProtection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6" fillId="4" borderId="25" xfId="0" applyFont="1" applyFill="1" applyBorder="1" applyAlignment="1" applyProtection="1">
      <alignment horizontal="left" vertical="center"/>
    </xf>
    <xf numFmtId="0" fontId="6" fillId="4" borderId="15" xfId="0" applyNumberFormat="1" applyFont="1" applyFill="1" applyBorder="1" applyAlignment="1" applyProtection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6" fillId="4" borderId="39" xfId="0" applyFont="1" applyFill="1" applyBorder="1" applyAlignment="1" applyProtection="1">
      <alignment horizontal="left" vertical="center"/>
    </xf>
    <xf numFmtId="0" fontId="6" fillId="4" borderId="52" xfId="0" applyNumberFormat="1" applyFont="1" applyFill="1" applyBorder="1" applyAlignment="1" applyProtection="1">
      <alignment horizontal="center" vertical="center"/>
    </xf>
    <xf numFmtId="0" fontId="6" fillId="9" borderId="9" xfId="0" applyFont="1" applyFill="1" applyBorder="1" applyAlignment="1" applyProtection="1">
      <alignment horizontal="left" vertical="center"/>
    </xf>
    <xf numFmtId="0" fontId="6" fillId="7" borderId="38" xfId="0" applyFont="1" applyFill="1" applyBorder="1" applyAlignment="1" applyProtection="1">
      <alignment horizontal="left" vertical="center"/>
    </xf>
    <xf numFmtId="0" fontId="6" fillId="7" borderId="36" xfId="0" applyNumberFormat="1" applyFont="1" applyFill="1" applyBorder="1" applyAlignment="1" applyProtection="1">
      <alignment horizontal="center" vertical="center"/>
    </xf>
    <xf numFmtId="0" fontId="6" fillId="4" borderId="9" xfId="0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6" fillId="7" borderId="25" xfId="0" applyFont="1" applyFill="1" applyBorder="1" applyAlignment="1" applyProtection="1">
      <alignment horizontal="left" vertical="center"/>
    </xf>
    <xf numFmtId="0" fontId="6" fillId="7" borderId="15" xfId="0" applyNumberFormat="1" applyFont="1" applyFill="1" applyBorder="1" applyAlignment="1" applyProtection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left" vertical="center"/>
    </xf>
    <xf numFmtId="0" fontId="4" fillId="6" borderId="15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9" borderId="18" xfId="0" applyFont="1" applyFill="1" applyBorder="1" applyAlignment="1" applyProtection="1">
      <alignment horizontal="left" vertical="center"/>
    </xf>
    <xf numFmtId="0" fontId="4" fillId="4" borderId="37" xfId="0" applyFont="1" applyFill="1" applyBorder="1" applyAlignment="1">
      <alignment horizontal="center" vertical="center"/>
    </xf>
    <xf numFmtId="0" fontId="6" fillId="9" borderId="11" xfId="0" applyNumberFormat="1" applyFont="1" applyFill="1" applyBorder="1" applyAlignment="1" applyProtection="1">
      <alignment horizontal="center" vertical="center"/>
    </xf>
    <xf numFmtId="0" fontId="6" fillId="9" borderId="3" xfId="0" applyNumberFormat="1" applyFont="1" applyFill="1" applyBorder="1" applyAlignment="1" applyProtection="1">
      <alignment horizontal="center" vertical="center"/>
    </xf>
    <xf numFmtId="0" fontId="6" fillId="9" borderId="8" xfId="0" applyNumberFormat="1" applyFont="1" applyFill="1" applyBorder="1" applyAlignment="1" applyProtection="1">
      <alignment horizontal="center" vertical="center"/>
    </xf>
    <xf numFmtId="0" fontId="6" fillId="9" borderId="17" xfId="0" applyNumberFormat="1" applyFont="1" applyFill="1" applyBorder="1" applyAlignment="1" applyProtection="1">
      <alignment horizontal="center" vertical="center"/>
    </xf>
    <xf numFmtId="0" fontId="6" fillId="8" borderId="11" xfId="0" applyNumberFormat="1" applyFont="1" applyFill="1" applyBorder="1" applyAlignment="1" applyProtection="1">
      <alignment horizontal="center" vertical="center"/>
    </xf>
    <xf numFmtId="0" fontId="6" fillId="8" borderId="8" xfId="0" applyNumberFormat="1" applyFont="1" applyFill="1" applyBorder="1" applyAlignment="1" applyProtection="1">
      <alignment horizontal="center" vertical="center"/>
    </xf>
    <xf numFmtId="0" fontId="6" fillId="8" borderId="3" xfId="0" applyNumberFormat="1" applyFont="1" applyFill="1" applyBorder="1" applyAlignment="1" applyProtection="1">
      <alignment horizontal="center" vertical="center"/>
    </xf>
    <xf numFmtId="0" fontId="6" fillId="7" borderId="8" xfId="0" applyNumberFormat="1" applyFont="1" applyFill="1" applyBorder="1" applyAlignment="1" applyProtection="1">
      <alignment horizontal="center" vertical="center"/>
    </xf>
    <xf numFmtId="0" fontId="6" fillId="7" borderId="17" xfId="0" applyNumberFormat="1" applyFont="1" applyFill="1" applyBorder="1" applyAlignment="1" applyProtection="1">
      <alignment horizontal="center" vertical="center"/>
    </xf>
    <xf numFmtId="0" fontId="6" fillId="4" borderId="8" xfId="0" applyNumberFormat="1" applyFont="1" applyFill="1" applyBorder="1" applyAlignment="1" applyProtection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7" borderId="54" xfId="0" applyNumberFormat="1" applyFont="1" applyFill="1" applyBorder="1" applyAlignment="1" applyProtection="1">
      <alignment horizontal="center" vertical="center"/>
    </xf>
    <xf numFmtId="0" fontId="6" fillId="4" borderId="40" xfId="0" applyFont="1" applyFill="1" applyBorder="1" applyAlignment="1" applyProtection="1">
      <alignment horizontal="left" vertical="center"/>
    </xf>
    <xf numFmtId="0" fontId="6" fillId="4" borderId="55" xfId="0" applyNumberFormat="1" applyFont="1" applyFill="1" applyBorder="1" applyAlignment="1" applyProtection="1">
      <alignment horizontal="center" vertical="center"/>
    </xf>
    <xf numFmtId="0" fontId="6" fillId="4" borderId="17" xfId="0" applyNumberFormat="1" applyFont="1" applyFill="1" applyBorder="1" applyAlignment="1" applyProtection="1">
      <alignment horizontal="center" vertical="center"/>
    </xf>
    <xf numFmtId="0" fontId="6" fillId="4" borderId="11" xfId="0" applyNumberFormat="1" applyFont="1" applyFill="1" applyBorder="1" applyAlignment="1" applyProtection="1">
      <alignment horizontal="center" vertical="center"/>
    </xf>
    <xf numFmtId="0" fontId="6" fillId="4" borderId="3" xfId="0" applyNumberFormat="1" applyFont="1" applyFill="1" applyBorder="1" applyAlignment="1" applyProtection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4" borderId="56" xfId="0" applyNumberFormat="1" applyFont="1" applyFill="1" applyBorder="1" applyAlignment="1" applyProtection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6" fillId="9" borderId="40" xfId="0" applyFont="1" applyFill="1" applyBorder="1" applyAlignment="1" applyProtection="1">
      <alignment horizontal="left" vertical="center"/>
    </xf>
    <xf numFmtId="0" fontId="6" fillId="9" borderId="57" xfId="0" applyNumberFormat="1" applyFont="1" applyFill="1" applyBorder="1" applyAlignment="1" applyProtection="1">
      <alignment horizontal="center" vertical="center"/>
    </xf>
    <xf numFmtId="0" fontId="6" fillId="8" borderId="54" xfId="0" applyNumberFormat="1" applyFont="1" applyFill="1" applyBorder="1" applyAlignment="1" applyProtection="1">
      <alignment horizontal="center" vertical="center"/>
    </xf>
    <xf numFmtId="0" fontId="6" fillId="7" borderId="11" xfId="0" applyNumberFormat="1" applyFont="1" applyFill="1" applyBorder="1" applyAlignment="1" applyProtection="1">
      <alignment horizontal="center" vertical="center"/>
    </xf>
    <xf numFmtId="0" fontId="6" fillId="7" borderId="3" xfId="0" applyNumberFormat="1" applyFont="1" applyFill="1" applyBorder="1" applyAlignment="1" applyProtection="1">
      <alignment horizontal="center" vertical="center"/>
    </xf>
    <xf numFmtId="0" fontId="6" fillId="4" borderId="61" xfId="0" applyNumberFormat="1" applyFont="1" applyFill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 wrapText="1"/>
    </xf>
    <xf numFmtId="0" fontId="9" fillId="0" borderId="19" xfId="0" applyFont="1" applyFill="1" applyBorder="1" applyAlignment="1" applyProtection="1">
      <alignment horizontal="center" vertical="center" wrapText="1"/>
    </xf>
    <xf numFmtId="0" fontId="9" fillId="0" borderId="21" xfId="0" applyFont="1" applyFill="1" applyBorder="1" applyAlignment="1" applyProtection="1">
      <alignment horizontal="center" vertical="center" wrapText="1"/>
    </xf>
    <xf numFmtId="0" fontId="9" fillId="0" borderId="10" xfId="0" applyFont="1" applyFill="1" applyBorder="1" applyAlignment="1" applyProtection="1">
      <alignment horizontal="center" vertical="center" wrapText="1"/>
    </xf>
    <xf numFmtId="17" fontId="5" fillId="5" borderId="21" xfId="0" applyNumberFormat="1" applyFont="1" applyFill="1" applyBorder="1" applyAlignment="1" applyProtection="1">
      <alignment horizontal="center" vertical="center" textRotation="90"/>
    </xf>
    <xf numFmtId="17" fontId="5" fillId="5" borderId="10" xfId="0" applyNumberFormat="1" applyFont="1" applyFill="1" applyBorder="1" applyAlignment="1" applyProtection="1">
      <alignment horizontal="center" vertical="center" textRotation="90"/>
    </xf>
    <xf numFmtId="17" fontId="5" fillId="5" borderId="31" xfId="0" applyNumberFormat="1" applyFont="1" applyFill="1" applyBorder="1" applyAlignment="1" applyProtection="1">
      <alignment horizontal="center" vertical="center" textRotation="90"/>
    </xf>
    <xf numFmtId="17" fontId="5" fillId="5" borderId="0" xfId="0" applyNumberFormat="1" applyFont="1" applyFill="1" applyBorder="1" applyAlignment="1" applyProtection="1">
      <alignment horizontal="center" vertical="center" textRotation="90"/>
    </xf>
    <xf numFmtId="0" fontId="8" fillId="10" borderId="20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 applyProtection="1">
      <alignment horizontal="center" vertical="center" wrapText="1"/>
    </xf>
    <xf numFmtId="0" fontId="9" fillId="0" borderId="26" xfId="0" applyFont="1" applyFill="1" applyBorder="1" applyAlignment="1" applyProtection="1">
      <alignment horizontal="center" vertical="center" wrapText="1"/>
    </xf>
    <xf numFmtId="0" fontId="9" fillId="0" borderId="35" xfId="0" applyFont="1" applyFill="1" applyBorder="1" applyAlignment="1" applyProtection="1">
      <alignment horizontal="center" vertical="center" wrapText="1"/>
    </xf>
    <xf numFmtId="0" fontId="9" fillId="0" borderId="32" xfId="0" applyFont="1" applyFill="1" applyBorder="1" applyAlignment="1" applyProtection="1">
      <alignment horizontal="center" vertical="center" wrapText="1"/>
    </xf>
    <xf numFmtId="17" fontId="5" fillId="11" borderId="21" xfId="0" applyNumberFormat="1" applyFont="1" applyFill="1" applyBorder="1" applyAlignment="1" applyProtection="1">
      <alignment horizontal="center" vertical="center" textRotation="90"/>
    </xf>
    <xf numFmtId="17" fontId="5" fillId="11" borderId="10" xfId="0" applyNumberFormat="1" applyFont="1" applyFill="1" applyBorder="1" applyAlignment="1" applyProtection="1">
      <alignment horizontal="center" vertical="center" textRotation="90"/>
    </xf>
    <xf numFmtId="17" fontId="5" fillId="11" borderId="0" xfId="0" applyNumberFormat="1" applyFont="1" applyFill="1" applyBorder="1" applyAlignment="1" applyProtection="1">
      <alignment horizontal="center" vertical="center" textRotation="90"/>
    </xf>
    <xf numFmtId="17" fontId="5" fillId="11" borderId="29" xfId="0" applyNumberFormat="1" applyFont="1" applyFill="1" applyBorder="1" applyAlignment="1" applyProtection="1">
      <alignment horizontal="center" vertical="center" textRotation="90"/>
    </xf>
    <xf numFmtId="17" fontId="13" fillId="13" borderId="21" xfId="0" applyNumberFormat="1" applyFont="1" applyFill="1" applyBorder="1" applyAlignment="1" applyProtection="1">
      <alignment horizontal="center" vertical="center" textRotation="90"/>
    </xf>
    <xf numFmtId="17" fontId="13" fillId="13" borderId="10" xfId="0" applyNumberFormat="1" applyFont="1" applyFill="1" applyBorder="1" applyAlignment="1" applyProtection="1">
      <alignment horizontal="center" vertical="center" textRotation="90"/>
    </xf>
    <xf numFmtId="17" fontId="13" fillId="13" borderId="32" xfId="0" applyNumberFormat="1" applyFont="1" applyFill="1" applyBorder="1" applyAlignment="1" applyProtection="1">
      <alignment horizontal="center" vertical="center" textRotation="90"/>
    </xf>
    <xf numFmtId="17" fontId="13" fillId="13" borderId="30" xfId="0" applyNumberFormat="1" applyFont="1" applyFill="1" applyBorder="1" applyAlignment="1" applyProtection="1">
      <alignment horizontal="center" vertical="center" textRotation="90"/>
    </xf>
    <xf numFmtId="17" fontId="13" fillId="14" borderId="21" xfId="0" applyNumberFormat="1" applyFont="1" applyFill="1" applyBorder="1" applyAlignment="1" applyProtection="1">
      <alignment horizontal="center" vertical="center" textRotation="90"/>
    </xf>
    <xf numFmtId="17" fontId="13" fillId="14" borderId="10" xfId="0" applyNumberFormat="1" applyFont="1" applyFill="1" applyBorder="1" applyAlignment="1" applyProtection="1">
      <alignment horizontal="center" vertical="center" textRotation="90"/>
    </xf>
    <xf numFmtId="17" fontId="5" fillId="15" borderId="21" xfId="0" applyNumberFormat="1" applyFont="1" applyFill="1" applyBorder="1" applyAlignment="1" applyProtection="1">
      <alignment horizontal="center" vertical="center" textRotation="90"/>
    </xf>
    <xf numFmtId="17" fontId="5" fillId="15" borderId="10" xfId="0" applyNumberFormat="1" applyFont="1" applyFill="1" applyBorder="1" applyAlignment="1" applyProtection="1">
      <alignment horizontal="center" vertical="center" textRotation="90"/>
    </xf>
    <xf numFmtId="17" fontId="5" fillId="15" borderId="0" xfId="0" applyNumberFormat="1" applyFont="1" applyFill="1" applyBorder="1" applyAlignment="1" applyProtection="1">
      <alignment horizontal="center" vertical="center" textRotation="90"/>
    </xf>
    <xf numFmtId="17" fontId="5" fillId="15" borderId="31" xfId="0" applyNumberFormat="1" applyFont="1" applyFill="1" applyBorder="1" applyAlignment="1" applyProtection="1">
      <alignment horizontal="center" vertical="center" textRotation="90"/>
    </xf>
    <xf numFmtId="0" fontId="8" fillId="10" borderId="13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17" fontId="14" fillId="16" borderId="33" xfId="0" applyNumberFormat="1" applyFont="1" applyFill="1" applyBorder="1" applyAlignment="1" applyProtection="1">
      <alignment horizontal="center" vertical="center" textRotation="90"/>
    </xf>
    <xf numFmtId="17" fontId="14" fillId="16" borderId="31" xfId="0" applyNumberFormat="1" applyFont="1" applyFill="1" applyBorder="1" applyAlignment="1" applyProtection="1">
      <alignment horizontal="center" vertical="center" textRotation="90"/>
    </xf>
    <xf numFmtId="17" fontId="14" fillId="16" borderId="0" xfId="0" applyNumberFormat="1" applyFont="1" applyFill="1" applyBorder="1" applyAlignment="1" applyProtection="1">
      <alignment horizontal="center" vertical="center" textRotation="90"/>
    </xf>
    <xf numFmtId="17" fontId="14" fillId="16" borderId="28" xfId="0" applyNumberFormat="1" applyFont="1" applyFill="1" applyBorder="1" applyAlignment="1" applyProtection="1">
      <alignment horizontal="center" vertical="center" textRotation="90"/>
    </xf>
    <xf numFmtId="17" fontId="14" fillId="17" borderId="21" xfId="0" applyNumberFormat="1" applyFont="1" applyFill="1" applyBorder="1" applyAlignment="1" applyProtection="1">
      <alignment horizontal="center" vertical="center" textRotation="90"/>
    </xf>
    <xf numFmtId="17" fontId="14" fillId="17" borderId="10" xfId="0" applyNumberFormat="1" applyFont="1" applyFill="1" applyBorder="1" applyAlignment="1" applyProtection="1">
      <alignment horizontal="center" vertical="center" textRotation="90"/>
    </xf>
    <xf numFmtId="17" fontId="14" fillId="17" borderId="32" xfId="0" applyNumberFormat="1" applyFont="1" applyFill="1" applyBorder="1" applyAlignment="1" applyProtection="1">
      <alignment horizontal="center" vertical="center" textRotation="90"/>
    </xf>
    <xf numFmtId="17" fontId="14" fillId="17" borderId="30" xfId="0" applyNumberFormat="1" applyFont="1" applyFill="1" applyBorder="1" applyAlignment="1" applyProtection="1">
      <alignment horizontal="center" vertical="center" textRotation="90"/>
    </xf>
    <xf numFmtId="0" fontId="4" fillId="28" borderId="58" xfId="0" applyFont="1" applyFill="1" applyBorder="1" applyAlignment="1">
      <alignment horizontal="center" vertical="center"/>
    </xf>
    <xf numFmtId="0" fontId="4" fillId="28" borderId="23" xfId="0" applyFont="1" applyFill="1" applyBorder="1" applyAlignment="1">
      <alignment horizontal="center" vertical="center"/>
    </xf>
    <xf numFmtId="17" fontId="5" fillId="18" borderId="21" xfId="0" applyNumberFormat="1" applyFont="1" applyFill="1" applyBorder="1" applyAlignment="1" applyProtection="1">
      <alignment horizontal="center" vertical="center" textRotation="90"/>
    </xf>
    <xf numFmtId="17" fontId="5" fillId="18" borderId="10" xfId="0" applyNumberFormat="1" applyFont="1" applyFill="1" applyBorder="1" applyAlignment="1" applyProtection="1">
      <alignment horizontal="center" vertical="center" textRotation="90"/>
    </xf>
    <xf numFmtId="17" fontId="5" fillId="18" borderId="5" xfId="0" applyNumberFormat="1" applyFont="1" applyFill="1" applyBorder="1" applyAlignment="1" applyProtection="1">
      <alignment horizontal="center" vertical="center" textRotation="90"/>
    </xf>
    <xf numFmtId="0" fontId="4" fillId="28" borderId="59" xfId="0" applyFont="1" applyFill="1" applyBorder="1" applyAlignment="1">
      <alignment horizontal="center" vertical="center"/>
    </xf>
    <xf numFmtId="0" fontId="4" fillId="28" borderId="60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17" fontId="15" fillId="19" borderId="21" xfId="0" applyNumberFormat="1" applyFont="1" applyFill="1" applyBorder="1" applyAlignment="1" applyProtection="1">
      <alignment horizontal="center" vertical="center" textRotation="90"/>
    </xf>
    <xf numFmtId="17" fontId="15" fillId="19" borderId="10" xfId="0" applyNumberFormat="1" applyFont="1" applyFill="1" applyBorder="1" applyAlignment="1" applyProtection="1">
      <alignment horizontal="center" vertical="center" textRotation="90"/>
    </xf>
    <xf numFmtId="17" fontId="15" fillId="19" borderId="5" xfId="0" applyNumberFormat="1" applyFont="1" applyFill="1" applyBorder="1" applyAlignment="1" applyProtection="1">
      <alignment horizontal="center" vertical="center" textRotation="90"/>
    </xf>
    <xf numFmtId="0" fontId="8" fillId="10" borderId="2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7" fontId="15" fillId="20" borderId="21" xfId="0" applyNumberFormat="1" applyFont="1" applyFill="1" applyBorder="1" applyAlignment="1" applyProtection="1">
      <alignment horizontal="center" vertical="center" textRotation="90"/>
    </xf>
    <xf numFmtId="17" fontId="15" fillId="20" borderId="10" xfId="0" applyNumberFormat="1" applyFont="1" applyFill="1" applyBorder="1" applyAlignment="1" applyProtection="1">
      <alignment horizontal="center" vertical="center" textRotation="90"/>
    </xf>
    <xf numFmtId="17" fontId="15" fillId="20" borderId="5" xfId="0" applyNumberFormat="1" applyFont="1" applyFill="1" applyBorder="1" applyAlignment="1" applyProtection="1">
      <alignment horizontal="center" vertical="center" textRotation="90"/>
    </xf>
    <xf numFmtId="17" fontId="16" fillId="21" borderId="21" xfId="0" applyNumberFormat="1" applyFont="1" applyFill="1" applyBorder="1" applyAlignment="1" applyProtection="1">
      <alignment horizontal="center" vertical="center" textRotation="90"/>
    </xf>
    <xf numFmtId="17" fontId="16" fillId="21" borderId="10" xfId="0" applyNumberFormat="1" applyFont="1" applyFill="1" applyBorder="1" applyAlignment="1" applyProtection="1">
      <alignment horizontal="center" vertical="center" textRotation="90"/>
    </xf>
    <xf numFmtId="17" fontId="16" fillId="21" borderId="5" xfId="0" applyNumberFormat="1" applyFont="1" applyFill="1" applyBorder="1" applyAlignment="1" applyProtection="1">
      <alignment horizontal="center" vertical="center" textRotation="90"/>
    </xf>
    <xf numFmtId="17" fontId="16" fillId="22" borderId="21" xfId="0" applyNumberFormat="1" applyFont="1" applyFill="1" applyBorder="1" applyAlignment="1" applyProtection="1">
      <alignment horizontal="center" vertical="center" textRotation="90"/>
    </xf>
    <xf numFmtId="17" fontId="16" fillId="22" borderId="10" xfId="0" applyNumberFormat="1" applyFont="1" applyFill="1" applyBorder="1" applyAlignment="1" applyProtection="1">
      <alignment horizontal="center" vertical="center" textRotation="90"/>
    </xf>
    <xf numFmtId="17" fontId="16" fillId="22" borderId="5" xfId="0" applyNumberFormat="1" applyFont="1" applyFill="1" applyBorder="1" applyAlignment="1" applyProtection="1">
      <alignment horizontal="center" vertical="center" textRotation="90"/>
    </xf>
    <xf numFmtId="0" fontId="18" fillId="25" borderId="32" xfId="0" applyFont="1" applyFill="1" applyBorder="1" applyAlignment="1">
      <alignment horizontal="left" vertical="center"/>
    </xf>
    <xf numFmtId="0" fontId="18" fillId="25" borderId="0" xfId="0" applyFont="1" applyFill="1" applyBorder="1" applyAlignment="1">
      <alignment horizontal="left" vertical="center"/>
    </xf>
    <xf numFmtId="0" fontId="18" fillId="25" borderId="30" xfId="0" applyFont="1" applyFill="1" applyBorder="1" applyAlignment="1">
      <alignment horizontal="left" vertical="center"/>
    </xf>
    <xf numFmtId="0" fontId="18" fillId="25" borderId="29" xfId="0" applyFont="1" applyFill="1" applyBorder="1" applyAlignment="1">
      <alignment horizontal="left" vertical="center"/>
    </xf>
    <xf numFmtId="17" fontId="17" fillId="25" borderId="0" xfId="0" applyNumberFormat="1" applyFont="1" applyFill="1" applyBorder="1" applyAlignment="1">
      <alignment horizontal="center" vertical="center"/>
    </xf>
    <xf numFmtId="0" fontId="9" fillId="0" borderId="40" xfId="0" applyFont="1" applyFill="1" applyBorder="1" applyAlignment="1" applyProtection="1">
      <alignment horizontal="center" vertical="center" wrapText="1"/>
    </xf>
    <xf numFmtId="0" fontId="9" fillId="0" borderId="39" xfId="0" applyFont="1" applyFill="1" applyBorder="1" applyAlignment="1" applyProtection="1">
      <alignment horizontal="center" vertical="center" wrapText="1"/>
    </xf>
    <xf numFmtId="17" fontId="16" fillId="24" borderId="21" xfId="0" applyNumberFormat="1" applyFont="1" applyFill="1" applyBorder="1" applyAlignment="1" applyProtection="1">
      <alignment horizontal="center" vertical="center" textRotation="90"/>
    </xf>
    <xf numFmtId="17" fontId="16" fillId="24" borderId="10" xfId="0" applyNumberFormat="1" applyFont="1" applyFill="1" applyBorder="1" applyAlignment="1" applyProtection="1">
      <alignment horizontal="center" vertical="center" textRotation="90"/>
    </xf>
    <xf numFmtId="17" fontId="16" fillId="24" borderId="5" xfId="0" applyNumberFormat="1" applyFont="1" applyFill="1" applyBorder="1" applyAlignment="1" applyProtection="1">
      <alignment horizontal="center" vertical="center" textRotation="90"/>
    </xf>
    <xf numFmtId="0" fontId="12" fillId="12" borderId="33" xfId="0" applyFont="1" applyFill="1" applyBorder="1" applyAlignment="1">
      <alignment horizontal="center" vertical="center"/>
    </xf>
    <xf numFmtId="0" fontId="12" fillId="12" borderId="31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386"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E5"/>
        </patternFill>
      </fill>
    </dxf>
    <dxf>
      <font>
        <b/>
        <i val="0"/>
        <color rgb="FF005C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7" tint="0.79998168889431442"/>
      </font>
      <fill>
        <patternFill>
          <bgColor rgb="FF7030A0"/>
        </patternFill>
      </fill>
    </dxf>
    <dxf>
      <font>
        <b/>
        <i val="0"/>
        <color theme="7" tint="0.79998168889431442"/>
      </font>
      <fill>
        <patternFill>
          <bgColor rgb="FF002060"/>
        </patternFill>
      </fill>
    </dxf>
    <dxf>
      <font>
        <b/>
        <i val="0"/>
        <color rgb="FFC00000"/>
      </font>
      <fill>
        <patternFill>
          <bgColor rgb="FFCCFFCC"/>
        </patternFill>
      </fill>
    </dxf>
    <dxf>
      <font>
        <b/>
        <i val="0"/>
        <color rgb="FF660033"/>
      </font>
      <fill>
        <patternFill>
          <bgColor rgb="FFFFC1E0"/>
        </patternFill>
      </fill>
    </dxf>
    <dxf>
      <font>
        <b/>
        <i val="0"/>
        <color theme="9" tint="0.79998168889431442"/>
      </font>
      <fill>
        <patternFill>
          <bgColor theme="9" tint="-0.499984740745262"/>
        </patternFill>
      </fill>
    </dxf>
    <dxf>
      <font>
        <b/>
        <i val="0"/>
        <color rgb="FFFFFFCC"/>
      </font>
      <fill>
        <patternFill>
          <bgColor rgb="FFCC3399"/>
        </patternFill>
      </fill>
    </dxf>
    <dxf>
      <font>
        <b/>
        <i val="0"/>
        <color rgb="FF003366"/>
      </font>
      <fill>
        <patternFill>
          <bgColor rgb="FFFFFF93"/>
        </patternFill>
      </fill>
    </dxf>
    <dxf>
      <font>
        <b/>
        <i val="0"/>
        <color theme="0"/>
      </font>
      <fill>
        <patternFill>
          <bgColor rgb="FF8A2E00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rgb="FF002060"/>
      </font>
      <fill>
        <patternFill>
          <bgColor rgb="FFFFFFE5"/>
        </patternFill>
      </fill>
    </dxf>
    <dxf>
      <font>
        <b/>
        <i val="0"/>
        <color rgb="FF005C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  <dxf>
      <font>
        <b/>
        <i val="0"/>
        <color theme="7" tint="0.79998168889431442"/>
      </font>
      <fill>
        <patternFill>
          <bgColor rgb="FF7030A0"/>
        </patternFill>
      </fill>
    </dxf>
    <dxf>
      <font>
        <b/>
        <i val="0"/>
        <color theme="7" tint="0.79998168889431442"/>
      </font>
      <fill>
        <patternFill>
          <bgColor rgb="FF002060"/>
        </patternFill>
      </fill>
    </dxf>
    <dxf>
      <font>
        <b/>
        <i val="0"/>
        <color rgb="FFC00000"/>
      </font>
      <fill>
        <patternFill>
          <bgColor rgb="FFCCFFCC"/>
        </patternFill>
      </fill>
    </dxf>
    <dxf>
      <font>
        <b/>
        <i val="0"/>
        <color rgb="FF660033"/>
      </font>
      <fill>
        <patternFill>
          <bgColor rgb="FFFFC1E0"/>
        </patternFill>
      </fill>
    </dxf>
    <dxf>
      <font>
        <b/>
        <i val="0"/>
        <color theme="9" tint="0.79998168889431442"/>
      </font>
      <fill>
        <patternFill>
          <bgColor theme="9" tint="-0.499984740745262"/>
        </patternFill>
      </fill>
    </dxf>
    <dxf>
      <font>
        <b/>
        <i val="0"/>
        <color rgb="FFFFFFCC"/>
      </font>
      <fill>
        <patternFill>
          <bgColor rgb="FFCC3399"/>
        </patternFill>
      </fill>
    </dxf>
    <dxf>
      <font>
        <b/>
        <i val="0"/>
        <color rgb="FF003366"/>
      </font>
      <fill>
        <patternFill>
          <bgColor rgb="FFFFFF93"/>
        </patternFill>
      </fill>
    </dxf>
    <dxf>
      <font>
        <b/>
        <i val="0"/>
        <color theme="0"/>
      </font>
      <fill>
        <patternFill>
          <bgColor rgb="FF8A2E00"/>
        </patternFill>
      </fill>
    </dxf>
    <dxf>
      <font>
        <b/>
        <i val="0"/>
        <color rgb="FF002060"/>
      </font>
      <fill>
        <patternFill>
          <bgColor rgb="FFFFFFCC"/>
        </patternFill>
      </fill>
    </dxf>
    <dxf>
      <font>
        <b/>
        <i val="0"/>
        <color rgb="FF002060"/>
      </font>
      <fill>
        <patternFill>
          <bgColor rgb="FFF9FFEB"/>
        </patternFill>
      </fill>
    </dxf>
    <dxf>
      <font>
        <b/>
        <i val="0"/>
        <color rgb="FF002060"/>
      </font>
      <fill>
        <patternFill>
          <bgColor rgb="FFDFF1E3"/>
        </patternFill>
      </fill>
    </dxf>
    <dxf>
      <font>
        <b/>
        <i val="0"/>
        <color rgb="FFC0000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F9BF-C582-49EF-A04D-8D2A8C4B6A84}">
  <sheetPr>
    <tabColor rgb="FF66FF99"/>
    <pageSetUpPr fitToPage="1"/>
  </sheetPr>
  <dimension ref="A1:AJ317"/>
  <sheetViews>
    <sheetView tabSelected="1" zoomScale="85" zoomScaleNormal="85" zoomScaleSheetLayoutView="70" workbookViewId="0">
      <pane ySplit="4" topLeftCell="A248" activePane="bottomLeft" state="frozen"/>
      <selection pane="bottomLeft" activeCell="A279" sqref="A279:XFD279"/>
    </sheetView>
  </sheetViews>
  <sheetFormatPr defaultRowHeight="15" x14ac:dyDescent="0.25"/>
  <cols>
    <col min="1" max="1" width="16.28515625" customWidth="1"/>
    <col min="2" max="2" width="9.5703125" customWidth="1"/>
    <col min="4" max="34" width="5.7109375" customWidth="1"/>
    <col min="35" max="35" width="9.140625" customWidth="1"/>
    <col min="36" max="36" width="11.140625" customWidth="1"/>
  </cols>
  <sheetData>
    <row r="1" spans="1:36" x14ac:dyDescent="0.25">
      <c r="A1" s="303" t="s">
        <v>34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7" t="s">
        <v>32</v>
      </c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</row>
    <row r="2" spans="1:36" ht="15.75" thickBot="1" x14ac:dyDescent="0.3">
      <c r="A2" s="305"/>
      <c r="B2" s="306"/>
      <c r="C2" s="306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</row>
    <row r="3" spans="1:36" ht="14.45" customHeight="1" x14ac:dyDescent="0.25">
      <c r="A3" s="308" t="s">
        <v>30</v>
      </c>
      <c r="B3" s="242" t="s">
        <v>29</v>
      </c>
      <c r="C3" s="310">
        <v>45748</v>
      </c>
      <c r="D3" s="137" t="s">
        <v>24</v>
      </c>
      <c r="E3" s="131" t="s">
        <v>23</v>
      </c>
      <c r="F3" s="131" t="s">
        <v>22</v>
      </c>
      <c r="G3" s="131" t="s">
        <v>28</v>
      </c>
      <c r="H3" s="131" t="s">
        <v>27</v>
      </c>
      <c r="I3" s="131" t="s">
        <v>26</v>
      </c>
      <c r="J3" s="131" t="s">
        <v>25</v>
      </c>
      <c r="K3" s="131" t="s">
        <v>24</v>
      </c>
      <c r="L3" s="131" t="s">
        <v>23</v>
      </c>
      <c r="M3" s="131" t="s">
        <v>22</v>
      </c>
      <c r="N3" s="131" t="s">
        <v>28</v>
      </c>
      <c r="O3" s="131" t="s">
        <v>27</v>
      </c>
      <c r="P3" s="131" t="s">
        <v>26</v>
      </c>
      <c r="Q3" s="131" t="s">
        <v>25</v>
      </c>
      <c r="R3" s="131" t="s">
        <v>24</v>
      </c>
      <c r="S3" s="131" t="s">
        <v>23</v>
      </c>
      <c r="T3" s="131" t="s">
        <v>22</v>
      </c>
      <c r="U3" s="131" t="s">
        <v>28</v>
      </c>
      <c r="V3" s="131" t="s">
        <v>27</v>
      </c>
      <c r="W3" s="131" t="s">
        <v>26</v>
      </c>
      <c r="X3" s="131" t="s">
        <v>25</v>
      </c>
      <c r="Y3" s="131" t="s">
        <v>24</v>
      </c>
      <c r="Z3" s="131" t="s">
        <v>23</v>
      </c>
      <c r="AA3" s="131" t="s">
        <v>22</v>
      </c>
      <c r="AB3" s="131" t="s">
        <v>28</v>
      </c>
      <c r="AC3" s="131" t="s">
        <v>27</v>
      </c>
      <c r="AD3" s="131" t="s">
        <v>26</v>
      </c>
      <c r="AE3" s="131" t="s">
        <v>25</v>
      </c>
      <c r="AF3" s="131" t="s">
        <v>24</v>
      </c>
      <c r="AG3" s="136" t="s">
        <v>23</v>
      </c>
      <c r="AH3" s="136" t="s">
        <v>22</v>
      </c>
      <c r="AI3" s="248" t="s">
        <v>21</v>
      </c>
      <c r="AJ3" s="250" t="s">
        <v>20</v>
      </c>
    </row>
    <row r="4" spans="1:36" ht="15.75" thickBot="1" x14ac:dyDescent="0.3">
      <c r="A4" s="309"/>
      <c r="B4" s="243"/>
      <c r="C4" s="311"/>
      <c r="D4" s="135">
        <v>1</v>
      </c>
      <c r="E4" s="128">
        <v>2</v>
      </c>
      <c r="F4" s="128">
        <v>3</v>
      </c>
      <c r="G4" s="128">
        <v>4</v>
      </c>
      <c r="H4" s="128">
        <v>5</v>
      </c>
      <c r="I4" s="128">
        <v>6</v>
      </c>
      <c r="J4" s="128">
        <v>7</v>
      </c>
      <c r="K4" s="128">
        <v>8</v>
      </c>
      <c r="L4" s="128">
        <v>9</v>
      </c>
      <c r="M4" s="128">
        <v>10</v>
      </c>
      <c r="N4" s="128">
        <v>11</v>
      </c>
      <c r="O4" s="128">
        <v>12</v>
      </c>
      <c r="P4" s="128">
        <v>13</v>
      </c>
      <c r="Q4" s="128">
        <v>14</v>
      </c>
      <c r="R4" s="128">
        <v>15</v>
      </c>
      <c r="S4" s="128">
        <v>16</v>
      </c>
      <c r="T4" s="128">
        <v>17</v>
      </c>
      <c r="U4" s="128">
        <v>18</v>
      </c>
      <c r="V4" s="128">
        <v>19</v>
      </c>
      <c r="W4" s="128">
        <v>20</v>
      </c>
      <c r="X4" s="128">
        <v>21</v>
      </c>
      <c r="Y4" s="128">
        <v>22</v>
      </c>
      <c r="Z4" s="128">
        <v>23</v>
      </c>
      <c r="AA4" s="128">
        <v>24</v>
      </c>
      <c r="AB4" s="128">
        <v>25</v>
      </c>
      <c r="AC4" s="128">
        <v>26</v>
      </c>
      <c r="AD4" s="128">
        <v>27</v>
      </c>
      <c r="AE4" s="128">
        <v>28</v>
      </c>
      <c r="AF4" s="128">
        <v>29</v>
      </c>
      <c r="AG4" s="127">
        <v>30</v>
      </c>
      <c r="AH4" s="127">
        <v>31</v>
      </c>
      <c r="AI4" s="292"/>
      <c r="AJ4" s="293"/>
    </row>
    <row r="5" spans="1:36" ht="15.75" thickBot="1" x14ac:dyDescent="0.3">
      <c r="A5" s="64" t="s">
        <v>19</v>
      </c>
      <c r="B5" s="63">
        <v>38</v>
      </c>
      <c r="C5" s="311"/>
      <c r="D5" s="44" t="s">
        <v>31</v>
      </c>
      <c r="E5" s="42" t="s">
        <v>31</v>
      </c>
      <c r="F5" s="42" t="s">
        <v>31</v>
      </c>
      <c r="G5" s="42" t="s">
        <v>31</v>
      </c>
      <c r="H5" s="43" t="s">
        <v>0</v>
      </c>
      <c r="I5" s="43" t="s">
        <v>0</v>
      </c>
      <c r="J5" s="42" t="s">
        <v>2</v>
      </c>
      <c r="K5" s="42" t="s">
        <v>2</v>
      </c>
      <c r="L5" s="42" t="s">
        <v>2</v>
      </c>
      <c r="M5" s="42" t="s">
        <v>2</v>
      </c>
      <c r="N5" s="42" t="s">
        <v>2</v>
      </c>
      <c r="O5" s="43" t="s">
        <v>0</v>
      </c>
      <c r="P5" s="43" t="s">
        <v>0</v>
      </c>
      <c r="Q5" s="42" t="s">
        <v>2</v>
      </c>
      <c r="R5" s="42" t="s">
        <v>2</v>
      </c>
      <c r="S5" s="42" t="s">
        <v>2</v>
      </c>
      <c r="T5" s="42" t="s">
        <v>2</v>
      </c>
      <c r="U5" s="42" t="s">
        <v>31</v>
      </c>
      <c r="V5" s="43" t="s">
        <v>0</v>
      </c>
      <c r="W5" s="43" t="s">
        <v>0</v>
      </c>
      <c r="X5" s="42" t="s">
        <v>2</v>
      </c>
      <c r="Y5" s="42" t="s">
        <v>2</v>
      </c>
      <c r="Z5" s="42" t="s">
        <v>2</v>
      </c>
      <c r="AA5" s="42" t="s">
        <v>2</v>
      </c>
      <c r="AB5" s="42" t="s">
        <v>2</v>
      </c>
      <c r="AC5" s="43" t="s">
        <v>0</v>
      </c>
      <c r="AD5" s="43" t="s">
        <v>0</v>
      </c>
      <c r="AE5" s="42" t="s">
        <v>2</v>
      </c>
      <c r="AF5" s="42" t="s">
        <v>2</v>
      </c>
      <c r="AG5" s="84" t="s">
        <v>2</v>
      </c>
      <c r="AH5" s="97"/>
      <c r="AI5" s="61">
        <f t="shared" ref="AI5:AI22" si="0">COUNTIF(D5:AG5,"V")</f>
        <v>5</v>
      </c>
      <c r="AJ5" s="60">
        <f t="shared" ref="AJ5:AJ22" si="1">B5-AI5</f>
        <v>33</v>
      </c>
    </row>
    <row r="6" spans="1:36" x14ac:dyDescent="0.25">
      <c r="A6" s="59" t="s">
        <v>18</v>
      </c>
      <c r="B6" s="58">
        <f>27+10</f>
        <v>37</v>
      </c>
      <c r="C6" s="311"/>
      <c r="D6" s="50" t="s">
        <v>2</v>
      </c>
      <c r="E6" s="35" t="s">
        <v>2</v>
      </c>
      <c r="F6" s="35" t="s">
        <v>2</v>
      </c>
      <c r="G6" s="35" t="s">
        <v>2</v>
      </c>
      <c r="H6" s="36" t="s">
        <v>0</v>
      </c>
      <c r="I6" s="36" t="s">
        <v>0</v>
      </c>
      <c r="J6" s="35" t="s">
        <v>2</v>
      </c>
      <c r="K6" s="35" t="s">
        <v>2</v>
      </c>
      <c r="L6" s="35" t="s">
        <v>2</v>
      </c>
      <c r="M6" s="35" t="s">
        <v>2</v>
      </c>
      <c r="N6" s="35" t="s">
        <v>2</v>
      </c>
      <c r="O6" s="36" t="s">
        <v>0</v>
      </c>
      <c r="P6" s="36" t="s">
        <v>0</v>
      </c>
      <c r="Q6" s="35" t="s">
        <v>2</v>
      </c>
      <c r="R6" s="35" t="s">
        <v>2</v>
      </c>
      <c r="S6" s="35" t="s">
        <v>2</v>
      </c>
      <c r="T6" s="35" t="s">
        <v>2</v>
      </c>
      <c r="U6" s="35" t="s">
        <v>2</v>
      </c>
      <c r="V6" s="36" t="s">
        <v>0</v>
      </c>
      <c r="W6" s="36" t="s">
        <v>0</v>
      </c>
      <c r="X6" s="35" t="s">
        <v>2</v>
      </c>
      <c r="Y6" s="35" t="s">
        <v>2</v>
      </c>
      <c r="Z6" s="35" t="s">
        <v>2</v>
      </c>
      <c r="AA6" s="35" t="s">
        <v>2</v>
      </c>
      <c r="AB6" s="35" t="s">
        <v>2</v>
      </c>
      <c r="AC6" s="36" t="s">
        <v>0</v>
      </c>
      <c r="AD6" s="36" t="s">
        <v>0</v>
      </c>
      <c r="AE6" s="42" t="s">
        <v>35</v>
      </c>
      <c r="AF6" s="35" t="s">
        <v>2</v>
      </c>
      <c r="AG6" s="87" t="s">
        <v>2</v>
      </c>
      <c r="AH6" s="97"/>
      <c r="AI6" s="10">
        <f t="shared" si="0"/>
        <v>0</v>
      </c>
      <c r="AJ6" s="9">
        <f t="shared" si="1"/>
        <v>37</v>
      </c>
    </row>
    <row r="7" spans="1:36" x14ac:dyDescent="0.25">
      <c r="A7" s="59" t="s">
        <v>17</v>
      </c>
      <c r="B7" s="58">
        <f>27+2</f>
        <v>29</v>
      </c>
      <c r="C7" s="311"/>
      <c r="D7" s="50" t="s">
        <v>2</v>
      </c>
      <c r="E7" s="35" t="s">
        <v>2</v>
      </c>
      <c r="F7" s="36" t="s">
        <v>0</v>
      </c>
      <c r="G7" s="36" t="s">
        <v>0</v>
      </c>
      <c r="H7" s="35" t="s">
        <v>2</v>
      </c>
      <c r="I7" s="35" t="s">
        <v>2</v>
      </c>
      <c r="J7" s="35" t="s">
        <v>2</v>
      </c>
      <c r="K7" s="35" t="s">
        <v>2</v>
      </c>
      <c r="L7" s="35" t="s">
        <v>2</v>
      </c>
      <c r="M7" s="36" t="s">
        <v>0</v>
      </c>
      <c r="N7" s="36" t="s">
        <v>0</v>
      </c>
      <c r="O7" s="35" t="s">
        <v>2</v>
      </c>
      <c r="P7" s="35" t="s">
        <v>2</v>
      </c>
      <c r="Q7" s="35" t="s">
        <v>2</v>
      </c>
      <c r="R7" s="35" t="s">
        <v>2</v>
      </c>
      <c r="S7" s="35" t="s">
        <v>2</v>
      </c>
      <c r="T7" s="36" t="s">
        <v>0</v>
      </c>
      <c r="U7" s="36" t="s">
        <v>0</v>
      </c>
      <c r="V7" s="35" t="s">
        <v>2</v>
      </c>
      <c r="W7" s="35" t="s">
        <v>2</v>
      </c>
      <c r="X7" s="35" t="s">
        <v>2</v>
      </c>
      <c r="Y7" s="35" t="s">
        <v>2</v>
      </c>
      <c r="Z7" s="35" t="s">
        <v>2</v>
      </c>
      <c r="AA7" s="36" t="s">
        <v>0</v>
      </c>
      <c r="AB7" s="36" t="s">
        <v>0</v>
      </c>
      <c r="AC7" s="35" t="s">
        <v>2</v>
      </c>
      <c r="AD7" s="35" t="s">
        <v>2</v>
      </c>
      <c r="AE7" s="35" t="s">
        <v>2</v>
      </c>
      <c r="AF7" s="35" t="s">
        <v>2</v>
      </c>
      <c r="AG7" s="87" t="s">
        <v>2</v>
      </c>
      <c r="AH7" s="97"/>
      <c r="AI7" s="10">
        <f t="shared" si="0"/>
        <v>0</v>
      </c>
      <c r="AJ7" s="9">
        <f t="shared" si="1"/>
        <v>29</v>
      </c>
    </row>
    <row r="8" spans="1:36" ht="15.75" thickBot="1" x14ac:dyDescent="0.3">
      <c r="A8" s="57" t="s">
        <v>16</v>
      </c>
      <c r="B8" s="56">
        <v>27</v>
      </c>
      <c r="C8" s="311"/>
      <c r="D8" s="47" t="s">
        <v>2</v>
      </c>
      <c r="E8" s="30" t="s">
        <v>2</v>
      </c>
      <c r="F8" s="28" t="s">
        <v>0</v>
      </c>
      <c r="G8" s="28" t="s">
        <v>0</v>
      </c>
      <c r="H8" s="30" t="s">
        <v>2</v>
      </c>
      <c r="I8" s="30" t="s">
        <v>2</v>
      </c>
      <c r="J8" s="30" t="s">
        <v>2</v>
      </c>
      <c r="K8" s="30" t="s">
        <v>2</v>
      </c>
      <c r="L8" s="30" t="s">
        <v>2</v>
      </c>
      <c r="M8" s="28" t="s">
        <v>0</v>
      </c>
      <c r="N8" s="28" t="s">
        <v>0</v>
      </c>
      <c r="O8" s="30" t="s">
        <v>2</v>
      </c>
      <c r="P8" s="30" t="s">
        <v>2</v>
      </c>
      <c r="Q8" s="30" t="s">
        <v>2</v>
      </c>
      <c r="R8" s="30" t="s">
        <v>2</v>
      </c>
      <c r="S8" s="30" t="s">
        <v>2</v>
      </c>
      <c r="T8" s="28" t="s">
        <v>0</v>
      </c>
      <c r="U8" s="28" t="s">
        <v>0</v>
      </c>
      <c r="V8" s="30" t="s">
        <v>31</v>
      </c>
      <c r="W8" s="30" t="s">
        <v>31</v>
      </c>
      <c r="X8" s="30" t="s">
        <v>31</v>
      </c>
      <c r="Y8" s="30" t="s">
        <v>31</v>
      </c>
      <c r="Z8" s="30" t="s">
        <v>31</v>
      </c>
      <c r="AA8" s="28" t="s">
        <v>0</v>
      </c>
      <c r="AB8" s="28" t="s">
        <v>0</v>
      </c>
      <c r="AC8" s="30" t="s">
        <v>2</v>
      </c>
      <c r="AD8" s="30" t="s">
        <v>2</v>
      </c>
      <c r="AE8" s="30" t="s">
        <v>2</v>
      </c>
      <c r="AF8" s="30" t="s">
        <v>31</v>
      </c>
      <c r="AG8" s="86" t="s">
        <v>2</v>
      </c>
      <c r="AH8" s="97"/>
      <c r="AI8" s="10">
        <f t="shared" si="0"/>
        <v>6</v>
      </c>
      <c r="AJ8" s="9">
        <f t="shared" si="1"/>
        <v>21</v>
      </c>
    </row>
    <row r="9" spans="1:36" x14ac:dyDescent="0.25">
      <c r="A9" s="55" t="s">
        <v>15</v>
      </c>
      <c r="B9" s="54">
        <v>42</v>
      </c>
      <c r="C9" s="311"/>
      <c r="D9" s="44" t="s">
        <v>2</v>
      </c>
      <c r="E9" s="42" t="s">
        <v>2</v>
      </c>
      <c r="F9" s="42" t="s">
        <v>2</v>
      </c>
      <c r="G9" s="43" t="s">
        <v>0</v>
      </c>
      <c r="H9" s="43" t="s">
        <v>0</v>
      </c>
      <c r="I9" s="42" t="s">
        <v>2</v>
      </c>
      <c r="J9" s="42" t="s">
        <v>2</v>
      </c>
      <c r="K9" s="42" t="s">
        <v>2</v>
      </c>
      <c r="L9" s="42" t="s">
        <v>2</v>
      </c>
      <c r="M9" s="42" t="s">
        <v>2</v>
      </c>
      <c r="N9" s="43" t="s">
        <v>0</v>
      </c>
      <c r="O9" s="43" t="s">
        <v>0</v>
      </c>
      <c r="P9" s="42" t="s">
        <v>2</v>
      </c>
      <c r="Q9" s="42" t="s">
        <v>2</v>
      </c>
      <c r="R9" s="42" t="s">
        <v>2</v>
      </c>
      <c r="S9" s="42" t="s">
        <v>2</v>
      </c>
      <c r="T9" s="42" t="s">
        <v>2</v>
      </c>
      <c r="U9" s="43" t="s">
        <v>0</v>
      </c>
      <c r="V9" s="43" t="s">
        <v>0</v>
      </c>
      <c r="W9" s="42" t="s">
        <v>2</v>
      </c>
      <c r="X9" s="42" t="s">
        <v>31</v>
      </c>
      <c r="Y9" s="42" t="s">
        <v>31</v>
      </c>
      <c r="Z9" s="42" t="s">
        <v>31</v>
      </c>
      <c r="AA9" s="42" t="s">
        <v>31</v>
      </c>
      <c r="AB9" s="43" t="s">
        <v>0</v>
      </c>
      <c r="AC9" s="43" t="s">
        <v>0</v>
      </c>
      <c r="AD9" s="42" t="s">
        <v>31</v>
      </c>
      <c r="AE9" s="42" t="s">
        <v>31</v>
      </c>
      <c r="AF9" s="42" t="s">
        <v>31</v>
      </c>
      <c r="AG9" s="84" t="s">
        <v>31</v>
      </c>
      <c r="AH9" s="313"/>
      <c r="AI9" s="10">
        <f t="shared" si="0"/>
        <v>8</v>
      </c>
      <c r="AJ9" s="9">
        <f t="shared" si="1"/>
        <v>34</v>
      </c>
    </row>
    <row r="10" spans="1:36" ht="14.25" customHeight="1" x14ac:dyDescent="0.25">
      <c r="A10" s="52" t="s">
        <v>14</v>
      </c>
      <c r="B10" s="51">
        <v>42</v>
      </c>
      <c r="C10" s="311"/>
      <c r="D10" s="50" t="s">
        <v>31</v>
      </c>
      <c r="E10" s="35" t="s">
        <v>31</v>
      </c>
      <c r="F10" s="35" t="s">
        <v>31</v>
      </c>
      <c r="G10" s="35" t="s">
        <v>31</v>
      </c>
      <c r="H10" s="35" t="s">
        <v>31</v>
      </c>
      <c r="I10" s="35" t="s">
        <v>2</v>
      </c>
      <c r="J10" s="35" t="s">
        <v>2</v>
      </c>
      <c r="K10" s="35" t="s">
        <v>2</v>
      </c>
      <c r="L10" s="35" t="s">
        <v>2</v>
      </c>
      <c r="M10" s="35" t="s">
        <v>2</v>
      </c>
      <c r="N10" s="36" t="s">
        <v>0</v>
      </c>
      <c r="O10" s="36" t="s">
        <v>0</v>
      </c>
      <c r="P10" s="35" t="s">
        <v>2</v>
      </c>
      <c r="Q10" s="35" t="s">
        <v>2</v>
      </c>
      <c r="R10" s="35" t="s">
        <v>2</v>
      </c>
      <c r="S10" s="35" t="s">
        <v>2</v>
      </c>
      <c r="T10" s="35" t="s">
        <v>2</v>
      </c>
      <c r="U10" s="36" t="s">
        <v>0</v>
      </c>
      <c r="V10" s="36" t="s">
        <v>0</v>
      </c>
      <c r="W10" s="35" t="s">
        <v>2</v>
      </c>
      <c r="X10" s="35" t="s">
        <v>2</v>
      </c>
      <c r="Y10" s="35" t="s">
        <v>2</v>
      </c>
      <c r="Z10" s="35" t="s">
        <v>2</v>
      </c>
      <c r="AA10" s="35" t="s">
        <v>2</v>
      </c>
      <c r="AB10" s="36" t="s">
        <v>0</v>
      </c>
      <c r="AC10" s="36" t="s">
        <v>0</v>
      </c>
      <c r="AD10" s="35" t="s">
        <v>2</v>
      </c>
      <c r="AE10" s="35" t="s">
        <v>2</v>
      </c>
      <c r="AF10" s="35" t="s">
        <v>2</v>
      </c>
      <c r="AG10" s="87" t="s">
        <v>2</v>
      </c>
      <c r="AH10" s="314"/>
      <c r="AI10" s="10">
        <f t="shared" si="0"/>
        <v>5</v>
      </c>
      <c r="AJ10" s="9">
        <f t="shared" si="1"/>
        <v>37</v>
      </c>
    </row>
    <row r="11" spans="1:36" ht="15.75" thickBot="1" x14ac:dyDescent="0.3">
      <c r="A11" s="49" t="s">
        <v>13</v>
      </c>
      <c r="B11" s="48">
        <v>42</v>
      </c>
      <c r="C11" s="311"/>
      <c r="D11" s="30" t="s">
        <v>31</v>
      </c>
      <c r="E11" s="30" t="s">
        <v>31</v>
      </c>
      <c r="F11" s="30" t="s">
        <v>2</v>
      </c>
      <c r="G11" s="28" t="s">
        <v>0</v>
      </c>
      <c r="H11" s="28" t="s">
        <v>0</v>
      </c>
      <c r="I11" s="30" t="s">
        <v>31</v>
      </c>
      <c r="J11" s="30" t="s">
        <v>31</v>
      </c>
      <c r="K11" s="30" t="s">
        <v>31</v>
      </c>
      <c r="L11" s="30" t="s">
        <v>31</v>
      </c>
      <c r="M11" s="30" t="s">
        <v>31</v>
      </c>
      <c r="N11" s="30" t="s">
        <v>31</v>
      </c>
      <c r="O11" s="30" t="s">
        <v>31</v>
      </c>
      <c r="P11" s="30" t="s">
        <v>31</v>
      </c>
      <c r="Q11" s="30" t="s">
        <v>31</v>
      </c>
      <c r="R11" s="30" t="s">
        <v>31</v>
      </c>
      <c r="S11" s="30" t="s">
        <v>2</v>
      </c>
      <c r="T11" s="30" t="s">
        <v>2</v>
      </c>
      <c r="U11" s="28" t="s">
        <v>0</v>
      </c>
      <c r="V11" s="28" t="s">
        <v>0</v>
      </c>
      <c r="W11" s="30" t="s">
        <v>2</v>
      </c>
      <c r="X11" s="30" t="s">
        <v>2</v>
      </c>
      <c r="Y11" s="30" t="s">
        <v>2</v>
      </c>
      <c r="Z11" s="30" t="s">
        <v>2</v>
      </c>
      <c r="AA11" s="30" t="s">
        <v>2</v>
      </c>
      <c r="AB11" s="28" t="s">
        <v>0</v>
      </c>
      <c r="AC11" s="28" t="s">
        <v>0</v>
      </c>
      <c r="AD11" s="30" t="s">
        <v>2</v>
      </c>
      <c r="AE11" s="30" t="s">
        <v>2</v>
      </c>
      <c r="AF11" s="30" t="s">
        <v>2</v>
      </c>
      <c r="AG11" s="86" t="s">
        <v>2</v>
      </c>
      <c r="AH11" s="314"/>
      <c r="AI11" s="10">
        <f t="shared" si="0"/>
        <v>12</v>
      </c>
      <c r="AJ11" s="9">
        <f t="shared" si="1"/>
        <v>30</v>
      </c>
    </row>
    <row r="12" spans="1:36" x14ac:dyDescent="0.25">
      <c r="A12" s="46" t="s">
        <v>12</v>
      </c>
      <c r="B12" s="45">
        <f>42+8</f>
        <v>50</v>
      </c>
      <c r="C12" s="311"/>
      <c r="D12" s="85" t="s">
        <v>0</v>
      </c>
      <c r="E12" s="43" t="s">
        <v>0</v>
      </c>
      <c r="F12" s="43" t="s">
        <v>0</v>
      </c>
      <c r="G12" s="42" t="s">
        <v>2</v>
      </c>
      <c r="H12" s="42" t="s">
        <v>2</v>
      </c>
      <c r="I12" s="42" t="s">
        <v>2</v>
      </c>
      <c r="J12" s="41" t="s">
        <v>1</v>
      </c>
      <c r="K12" s="41" t="s">
        <v>1</v>
      </c>
      <c r="L12" s="41" t="s">
        <v>1</v>
      </c>
      <c r="M12" s="43" t="s">
        <v>0</v>
      </c>
      <c r="N12" s="43" t="s">
        <v>0</v>
      </c>
      <c r="O12" s="43" t="s">
        <v>0</v>
      </c>
      <c r="P12" s="42" t="s">
        <v>2</v>
      </c>
      <c r="Q12" s="42" t="s">
        <v>2</v>
      </c>
      <c r="R12" s="42" t="s">
        <v>2</v>
      </c>
      <c r="S12" s="41" t="s">
        <v>1</v>
      </c>
      <c r="T12" s="41" t="s">
        <v>1</v>
      </c>
      <c r="U12" s="41" t="s">
        <v>1</v>
      </c>
      <c r="V12" s="43" t="s">
        <v>0</v>
      </c>
      <c r="W12" s="43" t="s">
        <v>0</v>
      </c>
      <c r="X12" s="43" t="s">
        <v>0</v>
      </c>
      <c r="Y12" s="42" t="s">
        <v>2</v>
      </c>
      <c r="Z12" s="42" t="s">
        <v>2</v>
      </c>
      <c r="AA12" s="42" t="s">
        <v>2</v>
      </c>
      <c r="AB12" s="41" t="s">
        <v>1</v>
      </c>
      <c r="AC12" s="41" t="s">
        <v>1</v>
      </c>
      <c r="AD12" s="41" t="s">
        <v>1</v>
      </c>
      <c r="AE12" s="43" t="s">
        <v>0</v>
      </c>
      <c r="AF12" s="43" t="s">
        <v>0</v>
      </c>
      <c r="AG12" s="103" t="s">
        <v>0</v>
      </c>
      <c r="AH12" s="314"/>
      <c r="AI12" s="10">
        <f t="shared" si="0"/>
        <v>0</v>
      </c>
      <c r="AJ12" s="9">
        <f t="shared" si="1"/>
        <v>50</v>
      </c>
    </row>
    <row r="13" spans="1:36" x14ac:dyDescent="0.25">
      <c r="A13" s="40" t="s">
        <v>11</v>
      </c>
      <c r="B13" s="39">
        <f>42+4</f>
        <v>46</v>
      </c>
      <c r="C13" s="311"/>
      <c r="D13" s="35" t="s">
        <v>31</v>
      </c>
      <c r="E13" s="35" t="s">
        <v>31</v>
      </c>
      <c r="F13" s="35" t="s">
        <v>31</v>
      </c>
      <c r="G13" s="36" t="s">
        <v>0</v>
      </c>
      <c r="H13" s="36" t="s">
        <v>0</v>
      </c>
      <c r="I13" s="36" t="s">
        <v>0</v>
      </c>
      <c r="J13" s="35" t="s">
        <v>2</v>
      </c>
      <c r="K13" s="35" t="s">
        <v>2</v>
      </c>
      <c r="L13" s="35" t="s">
        <v>2</v>
      </c>
      <c r="M13" s="37" t="s">
        <v>1</v>
      </c>
      <c r="N13" s="37" t="s">
        <v>1</v>
      </c>
      <c r="O13" s="37" t="s">
        <v>1</v>
      </c>
      <c r="P13" s="36" t="s">
        <v>0</v>
      </c>
      <c r="Q13" s="36" t="s">
        <v>0</v>
      </c>
      <c r="R13" s="36" t="s">
        <v>0</v>
      </c>
      <c r="S13" s="35" t="s">
        <v>2</v>
      </c>
      <c r="T13" s="35" t="s">
        <v>2</v>
      </c>
      <c r="U13" s="35" t="s">
        <v>2</v>
      </c>
      <c r="V13" s="37" t="s">
        <v>1</v>
      </c>
      <c r="W13" s="37" t="s">
        <v>1</v>
      </c>
      <c r="X13" s="37" t="s">
        <v>1</v>
      </c>
      <c r="Y13" s="36" t="s">
        <v>0</v>
      </c>
      <c r="Z13" s="36" t="s">
        <v>0</v>
      </c>
      <c r="AA13" s="36" t="s">
        <v>0</v>
      </c>
      <c r="AB13" s="35" t="s">
        <v>2</v>
      </c>
      <c r="AC13" s="35" t="s">
        <v>2</v>
      </c>
      <c r="AD13" s="35" t="s">
        <v>2</v>
      </c>
      <c r="AE13" s="37" t="s">
        <v>1</v>
      </c>
      <c r="AF13" s="37" t="s">
        <v>1</v>
      </c>
      <c r="AG13" s="102" t="s">
        <v>1</v>
      </c>
      <c r="AH13" s="314"/>
      <c r="AI13" s="10">
        <f t="shared" si="0"/>
        <v>3</v>
      </c>
      <c r="AJ13" s="9">
        <f t="shared" si="1"/>
        <v>43</v>
      </c>
    </row>
    <row r="14" spans="1:36" ht="15.75" thickBot="1" x14ac:dyDescent="0.3">
      <c r="A14" s="33" t="s">
        <v>10</v>
      </c>
      <c r="B14" s="32">
        <v>40</v>
      </c>
      <c r="C14" s="311"/>
      <c r="D14" s="47" t="s">
        <v>2</v>
      </c>
      <c r="E14" s="30" t="s">
        <v>2</v>
      </c>
      <c r="F14" s="30" t="s">
        <v>2</v>
      </c>
      <c r="G14" s="29" t="s">
        <v>1</v>
      </c>
      <c r="H14" s="29" t="s">
        <v>1</v>
      </c>
      <c r="I14" s="29" t="s">
        <v>1</v>
      </c>
      <c r="J14" s="28" t="s">
        <v>0</v>
      </c>
      <c r="K14" s="28" t="s">
        <v>0</v>
      </c>
      <c r="L14" s="28" t="s">
        <v>0</v>
      </c>
      <c r="M14" s="30" t="s">
        <v>31</v>
      </c>
      <c r="N14" s="30" t="s">
        <v>31</v>
      </c>
      <c r="O14" s="30" t="s">
        <v>2</v>
      </c>
      <c r="P14" s="29" t="s">
        <v>1</v>
      </c>
      <c r="Q14" s="29" t="s">
        <v>1</v>
      </c>
      <c r="R14" s="29" t="s">
        <v>1</v>
      </c>
      <c r="S14" s="28" t="s">
        <v>0</v>
      </c>
      <c r="T14" s="28" t="s">
        <v>0</v>
      </c>
      <c r="U14" s="28" t="s">
        <v>0</v>
      </c>
      <c r="V14" s="30" t="s">
        <v>2</v>
      </c>
      <c r="W14" s="30" t="s">
        <v>2</v>
      </c>
      <c r="X14" s="30" t="s">
        <v>2</v>
      </c>
      <c r="Y14" s="29" t="s">
        <v>1</v>
      </c>
      <c r="Z14" s="29" t="s">
        <v>1</v>
      </c>
      <c r="AA14" s="29" t="s">
        <v>1</v>
      </c>
      <c r="AB14" s="28" t="s">
        <v>0</v>
      </c>
      <c r="AC14" s="28" t="s">
        <v>0</v>
      </c>
      <c r="AD14" s="28" t="s">
        <v>0</v>
      </c>
      <c r="AE14" s="30" t="s">
        <v>2</v>
      </c>
      <c r="AF14" s="30" t="s">
        <v>2</v>
      </c>
      <c r="AG14" s="86" t="s">
        <v>31</v>
      </c>
      <c r="AH14" s="314"/>
      <c r="AI14" s="10">
        <f t="shared" si="0"/>
        <v>3</v>
      </c>
      <c r="AJ14" s="9">
        <f t="shared" si="1"/>
        <v>37</v>
      </c>
    </row>
    <row r="15" spans="1:36" x14ac:dyDescent="0.25">
      <c r="A15" s="26" t="s">
        <v>9</v>
      </c>
      <c r="B15" s="25">
        <v>52</v>
      </c>
      <c r="C15" s="311"/>
      <c r="D15" s="144" t="s">
        <v>1</v>
      </c>
      <c r="E15" s="145" t="s">
        <v>1</v>
      </c>
      <c r="F15" s="145" t="s">
        <v>1</v>
      </c>
      <c r="G15" s="145" t="s">
        <v>31</v>
      </c>
      <c r="H15" s="145" t="s">
        <v>31</v>
      </c>
      <c r="I15" s="146" t="s">
        <v>0</v>
      </c>
      <c r="J15" s="146" t="s">
        <v>0</v>
      </c>
      <c r="K15" s="146" t="s">
        <v>2</v>
      </c>
      <c r="L15" s="146" t="s">
        <v>2</v>
      </c>
      <c r="M15" s="146" t="s">
        <v>2</v>
      </c>
      <c r="N15" s="146" t="s">
        <v>2</v>
      </c>
      <c r="O15" s="146" t="s">
        <v>2</v>
      </c>
      <c r="P15" s="147" t="s">
        <v>0</v>
      </c>
      <c r="Q15" s="147" t="s">
        <v>0</v>
      </c>
      <c r="R15" s="146" t="s">
        <v>1</v>
      </c>
      <c r="S15" s="146" t="s">
        <v>1</v>
      </c>
      <c r="T15" s="146" t="s">
        <v>1</v>
      </c>
      <c r="U15" s="146" t="s">
        <v>1</v>
      </c>
      <c r="V15" s="146" t="s">
        <v>1</v>
      </c>
      <c r="W15" s="146" t="s">
        <v>1</v>
      </c>
      <c r="X15" s="147" t="s">
        <v>0</v>
      </c>
      <c r="Y15" s="147" t="s">
        <v>0</v>
      </c>
      <c r="Z15" s="147" t="s">
        <v>0</v>
      </c>
      <c r="AA15" s="146" t="s">
        <v>2</v>
      </c>
      <c r="AB15" s="146" t="s">
        <v>2</v>
      </c>
      <c r="AC15" s="146" t="s">
        <v>2</v>
      </c>
      <c r="AD15" s="146" t="s">
        <v>2</v>
      </c>
      <c r="AE15" s="146" t="s">
        <v>2</v>
      </c>
      <c r="AF15" s="146" t="s">
        <v>2</v>
      </c>
      <c r="AG15" s="148" t="s">
        <v>0</v>
      </c>
      <c r="AH15" s="314"/>
      <c r="AI15" s="10">
        <f t="shared" si="0"/>
        <v>2</v>
      </c>
      <c r="AJ15" s="9">
        <f t="shared" si="1"/>
        <v>50</v>
      </c>
    </row>
    <row r="16" spans="1:36" x14ac:dyDescent="0.25">
      <c r="A16" s="16" t="s">
        <v>7</v>
      </c>
      <c r="B16" s="15">
        <v>42</v>
      </c>
      <c r="C16" s="311"/>
      <c r="D16" s="151" t="s">
        <v>2</v>
      </c>
      <c r="E16" s="141" t="s">
        <v>2</v>
      </c>
      <c r="F16" s="140" t="s">
        <v>0</v>
      </c>
      <c r="G16" s="140" t="s">
        <v>0</v>
      </c>
      <c r="H16" s="139" t="s">
        <v>2</v>
      </c>
      <c r="I16" s="139" t="s">
        <v>2</v>
      </c>
      <c r="J16" s="139" t="s">
        <v>2</v>
      </c>
      <c r="K16" s="139" t="s">
        <v>2</v>
      </c>
      <c r="L16" s="139" t="s">
        <v>2</v>
      </c>
      <c r="M16" s="138" t="s">
        <v>0</v>
      </c>
      <c r="N16" s="139" t="s">
        <v>0</v>
      </c>
      <c r="O16" s="139" t="s">
        <v>0</v>
      </c>
      <c r="P16" s="138" t="s">
        <v>1</v>
      </c>
      <c r="Q16" s="138" t="s">
        <v>1</v>
      </c>
      <c r="R16" s="138" t="s">
        <v>1</v>
      </c>
      <c r="S16" s="138" t="s">
        <v>1</v>
      </c>
      <c r="T16" s="138" t="s">
        <v>1</v>
      </c>
      <c r="U16" s="138" t="s">
        <v>1</v>
      </c>
      <c r="V16" s="139" t="s">
        <v>0</v>
      </c>
      <c r="W16" s="139" t="s">
        <v>0</v>
      </c>
      <c r="X16" s="139" t="s">
        <v>0</v>
      </c>
      <c r="Y16" s="138" t="s">
        <v>2</v>
      </c>
      <c r="Z16" s="138" t="s">
        <v>2</v>
      </c>
      <c r="AA16" s="138" t="s">
        <v>2</v>
      </c>
      <c r="AB16" s="138" t="s">
        <v>2</v>
      </c>
      <c r="AC16" s="139" t="s">
        <v>2</v>
      </c>
      <c r="AD16" s="139" t="s">
        <v>2</v>
      </c>
      <c r="AE16" s="138" t="s">
        <v>0</v>
      </c>
      <c r="AF16" s="139" t="s">
        <v>0</v>
      </c>
      <c r="AG16" s="150" t="s">
        <v>0</v>
      </c>
      <c r="AH16" s="314"/>
      <c r="AI16" s="10">
        <f t="shared" ref="AI16" si="2">COUNTIF(D16:AG16,"V")</f>
        <v>0</v>
      </c>
      <c r="AJ16" s="9">
        <f t="shared" ref="AJ16" si="3">B16-AI16</f>
        <v>42</v>
      </c>
    </row>
    <row r="17" spans="1:36" x14ac:dyDescent="0.25">
      <c r="A17" s="16" t="s">
        <v>8</v>
      </c>
      <c r="B17" s="15">
        <f>42+9+10</f>
        <v>61</v>
      </c>
      <c r="C17" s="311"/>
      <c r="D17" s="149" t="s">
        <v>31</v>
      </c>
      <c r="E17" s="140" t="s">
        <v>31</v>
      </c>
      <c r="F17" s="140" t="s">
        <v>31</v>
      </c>
      <c r="G17" s="140" t="s">
        <v>31</v>
      </c>
      <c r="H17" s="140" t="s">
        <v>31</v>
      </c>
      <c r="I17" s="140" t="s">
        <v>31</v>
      </c>
      <c r="J17" s="140" t="s">
        <v>31</v>
      </c>
      <c r="K17" s="140" t="s">
        <v>31</v>
      </c>
      <c r="L17" s="140" t="s">
        <v>31</v>
      </c>
      <c r="M17" s="140" t="s">
        <v>31</v>
      </c>
      <c r="N17" s="139" t="s">
        <v>0</v>
      </c>
      <c r="O17" s="139" t="s">
        <v>0</v>
      </c>
      <c r="P17" s="138" t="s">
        <v>2</v>
      </c>
      <c r="Q17" s="138" t="s">
        <v>2</v>
      </c>
      <c r="R17" s="138" t="s">
        <v>2</v>
      </c>
      <c r="S17" s="138" t="s">
        <v>2</v>
      </c>
      <c r="T17" s="138" t="s">
        <v>2</v>
      </c>
      <c r="U17" s="139" t="s">
        <v>2</v>
      </c>
      <c r="V17" s="139" t="s">
        <v>0</v>
      </c>
      <c r="W17" s="139" t="s">
        <v>0</v>
      </c>
      <c r="X17" s="139" t="s">
        <v>0</v>
      </c>
      <c r="Y17" s="138" t="s">
        <v>1</v>
      </c>
      <c r="Z17" s="138" t="s">
        <v>1</v>
      </c>
      <c r="AA17" s="138" t="s">
        <v>1</v>
      </c>
      <c r="AB17" s="138" t="s">
        <v>1</v>
      </c>
      <c r="AC17" s="138" t="s">
        <v>1</v>
      </c>
      <c r="AD17" s="138" t="s">
        <v>1</v>
      </c>
      <c r="AE17" s="138" t="s">
        <v>0</v>
      </c>
      <c r="AF17" s="139" t="s">
        <v>0</v>
      </c>
      <c r="AG17" s="150" t="s">
        <v>0</v>
      </c>
      <c r="AH17" s="314"/>
      <c r="AI17" s="10">
        <f t="shared" si="0"/>
        <v>10</v>
      </c>
      <c r="AJ17" s="9">
        <f t="shared" si="1"/>
        <v>51</v>
      </c>
    </row>
    <row r="18" spans="1:36" x14ac:dyDescent="0.25">
      <c r="A18" s="16" t="s">
        <v>33</v>
      </c>
      <c r="B18" s="15">
        <f>42+5</f>
        <v>47</v>
      </c>
      <c r="C18" s="311"/>
      <c r="D18" s="151" t="s">
        <v>2</v>
      </c>
      <c r="E18" s="141" t="s">
        <v>2</v>
      </c>
      <c r="F18" s="140" t="s">
        <v>0</v>
      </c>
      <c r="G18" s="140" t="s">
        <v>0</v>
      </c>
      <c r="H18" s="139" t="s">
        <v>2</v>
      </c>
      <c r="I18" s="139" t="s">
        <v>2</v>
      </c>
      <c r="J18" s="139" t="s">
        <v>2</v>
      </c>
      <c r="K18" s="139" t="s">
        <v>2</v>
      </c>
      <c r="L18" s="139" t="s">
        <v>2</v>
      </c>
      <c r="M18" s="138" t="s">
        <v>0</v>
      </c>
      <c r="N18" s="139" t="s">
        <v>0</v>
      </c>
      <c r="O18" s="139" t="s">
        <v>0</v>
      </c>
      <c r="P18" s="138" t="s">
        <v>1</v>
      </c>
      <c r="Q18" s="138" t="s">
        <v>1</v>
      </c>
      <c r="R18" s="138" t="s">
        <v>1</v>
      </c>
      <c r="S18" s="138" t="s">
        <v>1</v>
      </c>
      <c r="T18" s="138" t="s">
        <v>1</v>
      </c>
      <c r="U18" s="138" t="s">
        <v>1</v>
      </c>
      <c r="V18" s="139" t="s">
        <v>0</v>
      </c>
      <c r="W18" s="139" t="s">
        <v>0</v>
      </c>
      <c r="X18" s="139" t="s">
        <v>0</v>
      </c>
      <c r="Y18" s="138" t="s">
        <v>2</v>
      </c>
      <c r="Z18" s="138" t="s">
        <v>2</v>
      </c>
      <c r="AA18" s="138" t="s">
        <v>2</v>
      </c>
      <c r="AB18" s="138" t="s">
        <v>2</v>
      </c>
      <c r="AC18" s="139" t="s">
        <v>2</v>
      </c>
      <c r="AD18" s="139" t="s">
        <v>2</v>
      </c>
      <c r="AE18" s="138" t="s">
        <v>0</v>
      </c>
      <c r="AF18" s="139" t="s">
        <v>0</v>
      </c>
      <c r="AG18" s="150" t="s">
        <v>0</v>
      </c>
      <c r="AH18" s="314"/>
      <c r="AI18" s="10">
        <f t="shared" si="0"/>
        <v>0</v>
      </c>
      <c r="AJ18" s="9">
        <f t="shared" si="1"/>
        <v>47</v>
      </c>
    </row>
    <row r="19" spans="1:36" x14ac:dyDescent="0.25">
      <c r="A19" s="16" t="s">
        <v>6</v>
      </c>
      <c r="B19" s="15">
        <f>42+10</f>
        <v>52</v>
      </c>
      <c r="C19" s="311"/>
      <c r="D19" s="152" t="s">
        <v>0</v>
      </c>
      <c r="E19" s="138" t="s">
        <v>0</v>
      </c>
      <c r="F19" s="138" t="s">
        <v>1</v>
      </c>
      <c r="G19" s="138" t="s">
        <v>1</v>
      </c>
      <c r="H19" s="138" t="s">
        <v>1</v>
      </c>
      <c r="I19" s="138" t="s">
        <v>1</v>
      </c>
      <c r="J19" s="139" t="s">
        <v>1</v>
      </c>
      <c r="K19" s="142" t="s">
        <v>0</v>
      </c>
      <c r="L19" s="138" t="s">
        <v>0</v>
      </c>
      <c r="M19" s="138" t="s">
        <v>2</v>
      </c>
      <c r="N19" s="138" t="s">
        <v>2</v>
      </c>
      <c r="O19" s="138" t="s">
        <v>2</v>
      </c>
      <c r="P19" s="138" t="s">
        <v>2</v>
      </c>
      <c r="Q19" s="138" t="s">
        <v>0</v>
      </c>
      <c r="R19" s="138" t="s">
        <v>0</v>
      </c>
      <c r="S19" s="138" t="s">
        <v>2</v>
      </c>
      <c r="T19" s="138" t="s">
        <v>2</v>
      </c>
      <c r="U19" s="139" t="s">
        <v>2</v>
      </c>
      <c r="V19" s="139" t="s">
        <v>2</v>
      </c>
      <c r="W19" s="139" t="s">
        <v>2</v>
      </c>
      <c r="X19" s="139" t="s">
        <v>2</v>
      </c>
      <c r="Y19" s="138" t="s">
        <v>0</v>
      </c>
      <c r="Z19" s="138" t="s">
        <v>0</v>
      </c>
      <c r="AA19" s="138" t="s">
        <v>0</v>
      </c>
      <c r="AB19" s="139" t="s">
        <v>1</v>
      </c>
      <c r="AC19" s="139" t="s">
        <v>1</v>
      </c>
      <c r="AD19" s="139" t="s">
        <v>1</v>
      </c>
      <c r="AE19" s="139" t="s">
        <v>1</v>
      </c>
      <c r="AF19" s="139" t="s">
        <v>1</v>
      </c>
      <c r="AG19" s="150" t="s">
        <v>1</v>
      </c>
      <c r="AH19" s="314"/>
      <c r="AI19" s="10">
        <f t="shared" si="0"/>
        <v>0</v>
      </c>
      <c r="AJ19" s="9">
        <f t="shared" si="1"/>
        <v>52</v>
      </c>
    </row>
    <row r="20" spans="1:36" x14ac:dyDescent="0.25">
      <c r="A20" s="16" t="s">
        <v>5</v>
      </c>
      <c r="B20" s="15">
        <f>42+13</f>
        <v>55</v>
      </c>
      <c r="C20" s="311"/>
      <c r="D20" s="152" t="s">
        <v>31</v>
      </c>
      <c r="E20" s="138" t="s">
        <v>31</v>
      </c>
      <c r="F20" s="138" t="s">
        <v>31</v>
      </c>
      <c r="G20" s="138" t="s">
        <v>0</v>
      </c>
      <c r="H20" s="138" t="s">
        <v>0</v>
      </c>
      <c r="I20" s="138" t="s">
        <v>0</v>
      </c>
      <c r="J20" s="138" t="s">
        <v>2</v>
      </c>
      <c r="K20" s="138" t="s">
        <v>2</v>
      </c>
      <c r="L20" s="138" t="s">
        <v>2</v>
      </c>
      <c r="M20" s="138" t="s">
        <v>31</v>
      </c>
      <c r="N20" s="138" t="s">
        <v>31</v>
      </c>
      <c r="O20" s="138" t="s">
        <v>31</v>
      </c>
      <c r="P20" s="138" t="s">
        <v>0</v>
      </c>
      <c r="Q20" s="138" t="s">
        <v>0</v>
      </c>
      <c r="R20" s="138" t="s">
        <v>0</v>
      </c>
      <c r="S20" s="139" t="s">
        <v>1</v>
      </c>
      <c r="T20" s="139" t="s">
        <v>1</v>
      </c>
      <c r="U20" s="139" t="s">
        <v>1</v>
      </c>
      <c r="V20" s="139" t="s">
        <v>1</v>
      </c>
      <c r="W20" s="139" t="s">
        <v>1</v>
      </c>
      <c r="X20" s="139" t="s">
        <v>1</v>
      </c>
      <c r="Y20" s="138" t="s">
        <v>0</v>
      </c>
      <c r="Z20" s="138" t="s">
        <v>0</v>
      </c>
      <c r="AA20" s="138" t="s">
        <v>0</v>
      </c>
      <c r="AB20" s="138" t="s">
        <v>2</v>
      </c>
      <c r="AC20" s="138" t="s">
        <v>2</v>
      </c>
      <c r="AD20" s="138" t="s">
        <v>2</v>
      </c>
      <c r="AE20" s="138" t="s">
        <v>2</v>
      </c>
      <c r="AF20" s="138" t="s">
        <v>2</v>
      </c>
      <c r="AG20" s="150" t="s">
        <v>2</v>
      </c>
      <c r="AH20" s="314"/>
      <c r="AI20" s="10">
        <f t="shared" si="0"/>
        <v>6</v>
      </c>
      <c r="AJ20" s="9">
        <f t="shared" si="1"/>
        <v>49</v>
      </c>
    </row>
    <row r="21" spans="1:36" x14ac:dyDescent="0.25">
      <c r="A21" s="134" t="s">
        <v>4</v>
      </c>
      <c r="B21" s="133">
        <f>42+10</f>
        <v>52</v>
      </c>
      <c r="C21" s="311"/>
      <c r="D21" s="151" t="s">
        <v>0</v>
      </c>
      <c r="E21" s="141" t="s">
        <v>0</v>
      </c>
      <c r="F21" s="138" t="s">
        <v>2</v>
      </c>
      <c r="G21" s="138" t="s">
        <v>2</v>
      </c>
      <c r="H21" s="138" t="s">
        <v>2</v>
      </c>
      <c r="I21" s="138" t="s">
        <v>2</v>
      </c>
      <c r="J21" s="138" t="s">
        <v>2</v>
      </c>
      <c r="K21" s="138" t="s">
        <v>0</v>
      </c>
      <c r="L21" s="138" t="s">
        <v>0</v>
      </c>
      <c r="M21" s="138" t="s">
        <v>2</v>
      </c>
      <c r="N21" s="138" t="s">
        <v>2</v>
      </c>
      <c r="O21" s="138" t="s">
        <v>2</v>
      </c>
      <c r="P21" s="138" t="s">
        <v>2</v>
      </c>
      <c r="Q21" s="138" t="s">
        <v>2</v>
      </c>
      <c r="R21" s="138" t="s">
        <v>2</v>
      </c>
      <c r="S21" s="140" t="s">
        <v>0</v>
      </c>
      <c r="T21" s="140" t="s">
        <v>0</v>
      </c>
      <c r="U21" s="140" t="s">
        <v>0</v>
      </c>
      <c r="V21" s="140" t="s">
        <v>1</v>
      </c>
      <c r="W21" s="140" t="s">
        <v>1</v>
      </c>
      <c r="X21" s="140" t="s">
        <v>1</v>
      </c>
      <c r="Y21" s="140" t="s">
        <v>1</v>
      </c>
      <c r="Z21" s="140" t="s">
        <v>1</v>
      </c>
      <c r="AA21" s="140" t="s">
        <v>1</v>
      </c>
      <c r="AB21" s="138" t="s">
        <v>0</v>
      </c>
      <c r="AC21" s="138" t="s">
        <v>0</v>
      </c>
      <c r="AD21" s="138" t="s">
        <v>0</v>
      </c>
      <c r="AE21" s="138" t="s">
        <v>2</v>
      </c>
      <c r="AF21" s="138" t="s">
        <v>2</v>
      </c>
      <c r="AG21" s="153" t="s">
        <v>2</v>
      </c>
      <c r="AH21" s="314"/>
      <c r="AI21" s="10">
        <f t="shared" si="0"/>
        <v>0</v>
      </c>
      <c r="AJ21" s="9">
        <f t="shared" si="1"/>
        <v>52</v>
      </c>
    </row>
    <row r="22" spans="1:36" ht="15.75" thickBot="1" x14ac:dyDescent="0.3">
      <c r="A22" s="8" t="s">
        <v>3</v>
      </c>
      <c r="B22" s="7">
        <f>42+5</f>
        <v>47</v>
      </c>
      <c r="C22" s="312"/>
      <c r="D22" s="154" t="s">
        <v>2</v>
      </c>
      <c r="E22" s="155" t="s">
        <v>2</v>
      </c>
      <c r="F22" s="155" t="s">
        <v>2</v>
      </c>
      <c r="G22" s="155" t="s">
        <v>2</v>
      </c>
      <c r="H22" s="155" t="s">
        <v>2</v>
      </c>
      <c r="I22" s="143" t="s">
        <v>0</v>
      </c>
      <c r="J22" s="143" t="s">
        <v>0</v>
      </c>
      <c r="K22" s="143" t="s">
        <v>1</v>
      </c>
      <c r="L22" s="143" t="s">
        <v>1</v>
      </c>
      <c r="M22" s="143" t="s">
        <v>1</v>
      </c>
      <c r="N22" s="143" t="s">
        <v>1</v>
      </c>
      <c r="O22" s="156" t="s">
        <v>1</v>
      </c>
      <c r="P22" s="156" t="s">
        <v>0</v>
      </c>
      <c r="Q22" s="143" t="s">
        <v>1</v>
      </c>
      <c r="R22" s="143" t="s">
        <v>1</v>
      </c>
      <c r="S22" s="143" t="s">
        <v>0</v>
      </c>
      <c r="T22" s="143" t="s">
        <v>0</v>
      </c>
      <c r="U22" s="143" t="s">
        <v>0</v>
      </c>
      <c r="V22" s="143" t="s">
        <v>2</v>
      </c>
      <c r="W22" s="143" t="s">
        <v>2</v>
      </c>
      <c r="X22" s="143" t="s">
        <v>2</v>
      </c>
      <c r="Y22" s="143" t="s">
        <v>2</v>
      </c>
      <c r="Z22" s="143" t="s">
        <v>2</v>
      </c>
      <c r="AA22" s="143" t="s">
        <v>2</v>
      </c>
      <c r="AB22" s="143" t="s">
        <v>0</v>
      </c>
      <c r="AC22" s="143" t="s">
        <v>0</v>
      </c>
      <c r="AD22" s="143" t="s">
        <v>0</v>
      </c>
      <c r="AE22" s="143" t="s">
        <v>31</v>
      </c>
      <c r="AF22" s="156" t="s">
        <v>31</v>
      </c>
      <c r="AG22" s="157" t="s">
        <v>31</v>
      </c>
      <c r="AH22" s="315"/>
      <c r="AI22" s="2">
        <f t="shared" si="0"/>
        <v>3</v>
      </c>
      <c r="AJ22" s="1">
        <f t="shared" si="1"/>
        <v>44</v>
      </c>
    </row>
    <row r="23" spans="1:36" ht="21.75" thickBot="1" x14ac:dyDescent="0.3">
      <c r="A23" s="91"/>
      <c r="B23" s="91"/>
      <c r="C23" s="93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1"/>
      <c r="AJ23" s="91"/>
    </row>
    <row r="24" spans="1:36" ht="15" customHeight="1" x14ac:dyDescent="0.25">
      <c r="A24" s="240" t="s">
        <v>30</v>
      </c>
      <c r="B24" s="242" t="s">
        <v>29</v>
      </c>
      <c r="C24" s="300">
        <v>45804</v>
      </c>
      <c r="D24" s="132" t="s">
        <v>22</v>
      </c>
      <c r="E24" s="131" t="s">
        <v>28</v>
      </c>
      <c r="F24" s="131" t="s">
        <v>27</v>
      </c>
      <c r="G24" s="131" t="s">
        <v>26</v>
      </c>
      <c r="H24" s="131" t="s">
        <v>25</v>
      </c>
      <c r="I24" s="131" t="s">
        <v>24</v>
      </c>
      <c r="J24" s="131" t="s">
        <v>23</v>
      </c>
      <c r="K24" s="131" t="s">
        <v>22</v>
      </c>
      <c r="L24" s="131" t="s">
        <v>28</v>
      </c>
      <c r="M24" s="131" t="s">
        <v>27</v>
      </c>
      <c r="N24" s="131" t="s">
        <v>26</v>
      </c>
      <c r="O24" s="131" t="s">
        <v>25</v>
      </c>
      <c r="P24" s="131" t="s">
        <v>24</v>
      </c>
      <c r="Q24" s="131" t="s">
        <v>23</v>
      </c>
      <c r="R24" s="131" t="s">
        <v>22</v>
      </c>
      <c r="S24" s="131" t="s">
        <v>28</v>
      </c>
      <c r="T24" s="131" t="s">
        <v>27</v>
      </c>
      <c r="U24" s="131" t="s">
        <v>26</v>
      </c>
      <c r="V24" s="131" t="s">
        <v>25</v>
      </c>
      <c r="W24" s="131" t="s">
        <v>24</v>
      </c>
      <c r="X24" s="131" t="s">
        <v>23</v>
      </c>
      <c r="Y24" s="131" t="s">
        <v>22</v>
      </c>
      <c r="Z24" s="131" t="s">
        <v>28</v>
      </c>
      <c r="AA24" s="131" t="s">
        <v>27</v>
      </c>
      <c r="AB24" s="131" t="s">
        <v>26</v>
      </c>
      <c r="AC24" s="131" t="s">
        <v>25</v>
      </c>
      <c r="AD24" s="131" t="s">
        <v>24</v>
      </c>
      <c r="AE24" s="131" t="s">
        <v>23</v>
      </c>
      <c r="AF24" s="131" t="s">
        <v>22</v>
      </c>
      <c r="AG24" s="131" t="s">
        <v>28</v>
      </c>
      <c r="AH24" s="130" t="s">
        <v>27</v>
      </c>
      <c r="AI24" s="270" t="s">
        <v>21</v>
      </c>
      <c r="AJ24" s="250" t="s">
        <v>20</v>
      </c>
    </row>
    <row r="25" spans="1:36" ht="15.75" thickBot="1" x14ac:dyDescent="0.3">
      <c r="A25" s="241"/>
      <c r="B25" s="243"/>
      <c r="C25" s="301"/>
      <c r="D25" s="129">
        <v>1</v>
      </c>
      <c r="E25" s="128">
        <v>2</v>
      </c>
      <c r="F25" s="128">
        <v>3</v>
      </c>
      <c r="G25" s="128">
        <v>4</v>
      </c>
      <c r="H25" s="128">
        <v>5</v>
      </c>
      <c r="I25" s="128">
        <v>6</v>
      </c>
      <c r="J25" s="128">
        <v>7</v>
      </c>
      <c r="K25" s="128">
        <v>8</v>
      </c>
      <c r="L25" s="128">
        <v>9</v>
      </c>
      <c r="M25" s="128">
        <v>10</v>
      </c>
      <c r="N25" s="128">
        <v>11</v>
      </c>
      <c r="O25" s="128">
        <v>12</v>
      </c>
      <c r="P25" s="128">
        <v>13</v>
      </c>
      <c r="Q25" s="128">
        <v>14</v>
      </c>
      <c r="R25" s="128">
        <v>15</v>
      </c>
      <c r="S25" s="128">
        <v>16</v>
      </c>
      <c r="T25" s="128">
        <v>17</v>
      </c>
      <c r="U25" s="128">
        <v>18</v>
      </c>
      <c r="V25" s="128">
        <v>19</v>
      </c>
      <c r="W25" s="128">
        <v>20</v>
      </c>
      <c r="X25" s="128">
        <v>21</v>
      </c>
      <c r="Y25" s="128">
        <v>22</v>
      </c>
      <c r="Z25" s="128">
        <v>23</v>
      </c>
      <c r="AA25" s="128">
        <v>24</v>
      </c>
      <c r="AB25" s="128">
        <v>25</v>
      </c>
      <c r="AC25" s="128">
        <v>26</v>
      </c>
      <c r="AD25" s="128">
        <v>27</v>
      </c>
      <c r="AE25" s="127">
        <v>28</v>
      </c>
      <c r="AF25" s="128">
        <v>29</v>
      </c>
      <c r="AG25" s="127">
        <v>30</v>
      </c>
      <c r="AH25" s="126">
        <v>31</v>
      </c>
      <c r="AI25" s="271"/>
      <c r="AJ25" s="251"/>
    </row>
    <row r="26" spans="1:36" x14ac:dyDescent="0.25">
      <c r="A26" s="64" t="s">
        <v>19</v>
      </c>
      <c r="B26" s="63">
        <f t="shared" ref="B26:B43" si="4">AJ5</f>
        <v>33</v>
      </c>
      <c r="C26" s="301"/>
      <c r="D26" s="44" t="s">
        <v>2</v>
      </c>
      <c r="E26" s="42" t="s">
        <v>2</v>
      </c>
      <c r="F26" s="43" t="s">
        <v>0</v>
      </c>
      <c r="G26" s="43" t="s">
        <v>0</v>
      </c>
      <c r="H26" s="42" t="s">
        <v>2</v>
      </c>
      <c r="I26" s="42" t="s">
        <v>2</v>
      </c>
      <c r="J26" s="42" t="s">
        <v>2</v>
      </c>
      <c r="K26" s="42" t="s">
        <v>2</v>
      </c>
      <c r="L26" s="42" t="s">
        <v>2</v>
      </c>
      <c r="M26" s="43" t="s">
        <v>0</v>
      </c>
      <c r="N26" s="43" t="s">
        <v>0</v>
      </c>
      <c r="O26" s="42" t="s">
        <v>2</v>
      </c>
      <c r="P26" s="42" t="s">
        <v>2</v>
      </c>
      <c r="Q26" s="42" t="s">
        <v>2</v>
      </c>
      <c r="R26" s="42" t="s">
        <v>2</v>
      </c>
      <c r="S26" s="42" t="s">
        <v>2</v>
      </c>
      <c r="T26" s="43" t="s">
        <v>0</v>
      </c>
      <c r="U26" s="43" t="s">
        <v>0</v>
      </c>
      <c r="V26" s="42" t="s">
        <v>2</v>
      </c>
      <c r="W26" s="42" t="s">
        <v>2</v>
      </c>
      <c r="X26" s="42" t="s">
        <v>2</v>
      </c>
      <c r="Y26" s="42" t="s">
        <v>2</v>
      </c>
      <c r="Z26" s="42" t="s">
        <v>2</v>
      </c>
      <c r="AA26" s="43" t="s">
        <v>0</v>
      </c>
      <c r="AB26" s="43" t="s">
        <v>0</v>
      </c>
      <c r="AC26" s="42" t="s">
        <v>2</v>
      </c>
      <c r="AD26" s="42" t="s">
        <v>2</v>
      </c>
      <c r="AE26" s="42" t="s">
        <v>2</v>
      </c>
      <c r="AF26" s="42" t="s">
        <v>2</v>
      </c>
      <c r="AG26" s="42" t="s">
        <v>2</v>
      </c>
      <c r="AH26" s="103" t="s">
        <v>0</v>
      </c>
      <c r="AI26" s="88">
        <f t="shared" ref="AI26:AI43" si="5">COUNTIF(D26:AH26,"V")</f>
        <v>0</v>
      </c>
      <c r="AJ26" s="60">
        <f t="shared" ref="AJ26:AJ43" si="6">B26-AI26</f>
        <v>33</v>
      </c>
    </row>
    <row r="27" spans="1:36" x14ac:dyDescent="0.25">
      <c r="A27" s="59" t="s">
        <v>18</v>
      </c>
      <c r="B27" s="58">
        <f t="shared" si="4"/>
        <v>37</v>
      </c>
      <c r="C27" s="301"/>
      <c r="D27" s="50" t="s">
        <v>2</v>
      </c>
      <c r="E27" s="35" t="s">
        <v>2</v>
      </c>
      <c r="F27" s="36" t="s">
        <v>0</v>
      </c>
      <c r="G27" s="36" t="s">
        <v>0</v>
      </c>
      <c r="H27" s="35" t="s">
        <v>31</v>
      </c>
      <c r="I27" s="35" t="s">
        <v>31</v>
      </c>
      <c r="J27" s="35" t="s">
        <v>31</v>
      </c>
      <c r="K27" s="35" t="s">
        <v>31</v>
      </c>
      <c r="L27" s="35" t="s">
        <v>31</v>
      </c>
      <c r="M27" s="36" t="s">
        <v>0</v>
      </c>
      <c r="N27" s="36" t="s">
        <v>0</v>
      </c>
      <c r="O27" s="35" t="s">
        <v>31</v>
      </c>
      <c r="P27" s="35" t="s">
        <v>31</v>
      </c>
      <c r="Q27" s="35" t="s">
        <v>31</v>
      </c>
      <c r="R27" s="35" t="s">
        <v>31</v>
      </c>
      <c r="S27" s="35" t="s">
        <v>31</v>
      </c>
      <c r="T27" s="36" t="s">
        <v>0</v>
      </c>
      <c r="U27" s="36" t="s">
        <v>0</v>
      </c>
      <c r="V27" s="35" t="s">
        <v>2</v>
      </c>
      <c r="W27" s="35" t="s">
        <v>2</v>
      </c>
      <c r="X27" s="35" t="s">
        <v>2</v>
      </c>
      <c r="Y27" s="35" t="s">
        <v>2</v>
      </c>
      <c r="Z27" s="35" t="s">
        <v>2</v>
      </c>
      <c r="AA27" s="36" t="s">
        <v>0</v>
      </c>
      <c r="AB27" s="36" t="s">
        <v>0</v>
      </c>
      <c r="AC27" s="35" t="s">
        <v>2</v>
      </c>
      <c r="AD27" s="35" t="s">
        <v>2</v>
      </c>
      <c r="AE27" s="35" t="s">
        <v>2</v>
      </c>
      <c r="AF27" s="35" t="s">
        <v>2</v>
      </c>
      <c r="AG27" s="35" t="s">
        <v>2</v>
      </c>
      <c r="AH27" s="82" t="s">
        <v>0</v>
      </c>
      <c r="AI27" s="76">
        <f t="shared" si="5"/>
        <v>10</v>
      </c>
      <c r="AJ27" s="9">
        <f t="shared" si="6"/>
        <v>27</v>
      </c>
    </row>
    <row r="28" spans="1:36" x14ac:dyDescent="0.25">
      <c r="A28" s="59" t="s">
        <v>17</v>
      </c>
      <c r="B28" s="58">
        <f t="shared" si="4"/>
        <v>29</v>
      </c>
      <c r="C28" s="301"/>
      <c r="D28" s="38" t="s">
        <v>0</v>
      </c>
      <c r="E28" s="36" t="s">
        <v>0</v>
      </c>
      <c r="F28" s="35" t="s">
        <v>2</v>
      </c>
      <c r="G28" s="35" t="s">
        <v>2</v>
      </c>
      <c r="H28" s="35" t="s">
        <v>2</v>
      </c>
      <c r="I28" s="35" t="s">
        <v>2</v>
      </c>
      <c r="J28" s="35" t="s">
        <v>2</v>
      </c>
      <c r="K28" s="36" t="s">
        <v>0</v>
      </c>
      <c r="L28" s="36" t="s">
        <v>0</v>
      </c>
      <c r="M28" s="35" t="s">
        <v>2</v>
      </c>
      <c r="N28" s="35" t="s">
        <v>2</v>
      </c>
      <c r="O28" s="35" t="s">
        <v>2</v>
      </c>
      <c r="P28" s="35" t="s">
        <v>2</v>
      </c>
      <c r="Q28" s="35" t="s">
        <v>2</v>
      </c>
      <c r="R28" s="36" t="s">
        <v>0</v>
      </c>
      <c r="S28" s="36" t="s">
        <v>0</v>
      </c>
      <c r="T28" s="35" t="s">
        <v>2</v>
      </c>
      <c r="U28" s="35" t="s">
        <v>2</v>
      </c>
      <c r="V28" s="35" t="s">
        <v>2</v>
      </c>
      <c r="W28" s="35" t="s">
        <v>2</v>
      </c>
      <c r="X28" s="35" t="s">
        <v>2</v>
      </c>
      <c r="Y28" s="36" t="s">
        <v>0</v>
      </c>
      <c r="Z28" s="36" t="s">
        <v>0</v>
      </c>
      <c r="AA28" s="35" t="s">
        <v>35</v>
      </c>
      <c r="AB28" s="35" t="s">
        <v>35</v>
      </c>
      <c r="AC28" s="35" t="s">
        <v>31</v>
      </c>
      <c r="AD28" s="35" t="s">
        <v>31</v>
      </c>
      <c r="AE28" s="35" t="s">
        <v>31</v>
      </c>
      <c r="AF28" s="36" t="s">
        <v>0</v>
      </c>
      <c r="AG28" s="36" t="s">
        <v>0</v>
      </c>
      <c r="AH28" s="87" t="s">
        <v>2</v>
      </c>
      <c r="AI28" s="76">
        <f t="shared" si="5"/>
        <v>3</v>
      </c>
      <c r="AJ28" s="9">
        <f t="shared" si="6"/>
        <v>26</v>
      </c>
    </row>
    <row r="29" spans="1:36" ht="15.75" thickBot="1" x14ac:dyDescent="0.3">
      <c r="A29" s="57" t="s">
        <v>16</v>
      </c>
      <c r="B29" s="56">
        <f t="shared" si="4"/>
        <v>21</v>
      </c>
      <c r="C29" s="301"/>
      <c r="D29" s="110" t="s">
        <v>0</v>
      </c>
      <c r="E29" s="28" t="s">
        <v>0</v>
      </c>
      <c r="F29" s="30" t="s">
        <v>2</v>
      </c>
      <c r="G29" s="30" t="s">
        <v>2</v>
      </c>
      <c r="H29" s="30" t="s">
        <v>2</v>
      </c>
      <c r="I29" s="30" t="s">
        <v>2</v>
      </c>
      <c r="J29" s="30" t="s">
        <v>2</v>
      </c>
      <c r="K29" s="28" t="s">
        <v>0</v>
      </c>
      <c r="L29" s="28" t="s">
        <v>0</v>
      </c>
      <c r="M29" s="30" t="s">
        <v>2</v>
      </c>
      <c r="N29" s="30" t="s">
        <v>2</v>
      </c>
      <c r="O29" s="30" t="s">
        <v>2</v>
      </c>
      <c r="P29" s="30" t="s">
        <v>2</v>
      </c>
      <c r="Q29" s="30" t="s">
        <v>2</v>
      </c>
      <c r="R29" s="28" t="s">
        <v>0</v>
      </c>
      <c r="S29" s="28" t="s">
        <v>0</v>
      </c>
      <c r="T29" s="30" t="s">
        <v>2</v>
      </c>
      <c r="U29" s="30" t="s">
        <v>2</v>
      </c>
      <c r="V29" s="30" t="s">
        <v>2</v>
      </c>
      <c r="W29" s="30" t="s">
        <v>31</v>
      </c>
      <c r="X29" s="30" t="s">
        <v>31</v>
      </c>
      <c r="Y29" s="28" t="s">
        <v>0</v>
      </c>
      <c r="Z29" s="28" t="s">
        <v>0</v>
      </c>
      <c r="AA29" s="30" t="s">
        <v>2</v>
      </c>
      <c r="AB29" s="30" t="s">
        <v>2</v>
      </c>
      <c r="AC29" s="30" t="s">
        <v>2</v>
      </c>
      <c r="AD29" s="30" t="s">
        <v>2</v>
      </c>
      <c r="AE29" s="30" t="s">
        <v>2</v>
      </c>
      <c r="AF29" s="28" t="s">
        <v>0</v>
      </c>
      <c r="AG29" s="28" t="s">
        <v>0</v>
      </c>
      <c r="AH29" s="86" t="s">
        <v>2</v>
      </c>
      <c r="AI29" s="76">
        <f t="shared" si="5"/>
        <v>2</v>
      </c>
      <c r="AJ29" s="9">
        <f t="shared" si="6"/>
        <v>19</v>
      </c>
    </row>
    <row r="30" spans="1:36" x14ac:dyDescent="0.25">
      <c r="A30" s="55" t="s">
        <v>15</v>
      </c>
      <c r="B30" s="54">
        <f t="shared" si="4"/>
        <v>34</v>
      </c>
      <c r="C30" s="301"/>
      <c r="D30" s="44" t="s">
        <v>31</v>
      </c>
      <c r="E30" s="43" t="s">
        <v>0</v>
      </c>
      <c r="F30" s="43" t="s">
        <v>0</v>
      </c>
      <c r="G30" s="42" t="s">
        <v>2</v>
      </c>
      <c r="H30" s="42" t="s">
        <v>2</v>
      </c>
      <c r="I30" s="42" t="s">
        <v>2</v>
      </c>
      <c r="J30" s="42" t="s">
        <v>2</v>
      </c>
      <c r="K30" s="42" t="s">
        <v>2</v>
      </c>
      <c r="L30" s="43" t="s">
        <v>0</v>
      </c>
      <c r="M30" s="43" t="s">
        <v>0</v>
      </c>
      <c r="N30" s="42" t="s">
        <v>2</v>
      </c>
      <c r="O30" s="42" t="s">
        <v>2</v>
      </c>
      <c r="P30" s="42" t="s">
        <v>2</v>
      </c>
      <c r="Q30" s="42" t="s">
        <v>2</v>
      </c>
      <c r="R30" s="42" t="s">
        <v>2</v>
      </c>
      <c r="S30" s="43" t="s">
        <v>0</v>
      </c>
      <c r="T30" s="43" t="s">
        <v>0</v>
      </c>
      <c r="U30" s="42" t="s">
        <v>2</v>
      </c>
      <c r="V30" s="42" t="s">
        <v>2</v>
      </c>
      <c r="W30" s="42" t="s">
        <v>2</v>
      </c>
      <c r="X30" s="42" t="s">
        <v>2</v>
      </c>
      <c r="Y30" s="42" t="s">
        <v>2</v>
      </c>
      <c r="Z30" s="43" t="s">
        <v>0</v>
      </c>
      <c r="AA30" s="43" t="s">
        <v>0</v>
      </c>
      <c r="AB30" s="42" t="s">
        <v>2</v>
      </c>
      <c r="AC30" s="42" t="s">
        <v>2</v>
      </c>
      <c r="AD30" s="42" t="s">
        <v>2</v>
      </c>
      <c r="AE30" s="42" t="s">
        <v>2</v>
      </c>
      <c r="AF30" s="42" t="s">
        <v>2</v>
      </c>
      <c r="AG30" s="43" t="s">
        <v>0</v>
      </c>
      <c r="AH30" s="103" t="s">
        <v>0</v>
      </c>
      <c r="AI30" s="76">
        <f t="shared" si="5"/>
        <v>1</v>
      </c>
      <c r="AJ30" s="9">
        <f t="shared" si="6"/>
        <v>33</v>
      </c>
    </row>
    <row r="31" spans="1:36" ht="14.25" customHeight="1" x14ac:dyDescent="0.25">
      <c r="A31" s="52" t="s">
        <v>14</v>
      </c>
      <c r="B31" s="51">
        <f t="shared" si="4"/>
        <v>37</v>
      </c>
      <c r="C31" s="301"/>
      <c r="D31" s="50" t="s">
        <v>2</v>
      </c>
      <c r="E31" s="36" t="s">
        <v>0</v>
      </c>
      <c r="F31" s="36" t="s">
        <v>0</v>
      </c>
      <c r="G31" s="35" t="s">
        <v>2</v>
      </c>
      <c r="H31" s="35" t="s">
        <v>2</v>
      </c>
      <c r="I31" s="35" t="s">
        <v>2</v>
      </c>
      <c r="J31" s="35" t="s">
        <v>2</v>
      </c>
      <c r="K31" s="35" t="s">
        <v>2</v>
      </c>
      <c r="L31" s="36" t="s">
        <v>0</v>
      </c>
      <c r="M31" s="36" t="s">
        <v>0</v>
      </c>
      <c r="N31" s="35" t="s">
        <v>2</v>
      </c>
      <c r="O31" s="35" t="s">
        <v>2</v>
      </c>
      <c r="P31" s="35" t="s">
        <v>2</v>
      </c>
      <c r="Q31" s="35" t="s">
        <v>2</v>
      </c>
      <c r="R31" s="35" t="s">
        <v>2</v>
      </c>
      <c r="S31" s="36" t="s">
        <v>0</v>
      </c>
      <c r="T31" s="36" t="s">
        <v>0</v>
      </c>
      <c r="U31" s="35" t="s">
        <v>2</v>
      </c>
      <c r="V31" s="35" t="s">
        <v>2</v>
      </c>
      <c r="W31" s="35" t="s">
        <v>2</v>
      </c>
      <c r="X31" s="35" t="s">
        <v>2</v>
      </c>
      <c r="Y31" s="35" t="s">
        <v>2</v>
      </c>
      <c r="Z31" s="36" t="s">
        <v>0</v>
      </c>
      <c r="AA31" s="36" t="s">
        <v>0</v>
      </c>
      <c r="AB31" s="35" t="s">
        <v>2</v>
      </c>
      <c r="AC31" s="35" t="s">
        <v>2</v>
      </c>
      <c r="AD31" s="35" t="s">
        <v>2</v>
      </c>
      <c r="AE31" s="35" t="s">
        <v>2</v>
      </c>
      <c r="AF31" s="35" t="s">
        <v>2</v>
      </c>
      <c r="AG31" s="36" t="s">
        <v>0</v>
      </c>
      <c r="AH31" s="82" t="s">
        <v>0</v>
      </c>
      <c r="AI31" s="76">
        <f t="shared" si="5"/>
        <v>0</v>
      </c>
      <c r="AJ31" s="9">
        <f t="shared" si="6"/>
        <v>37</v>
      </c>
    </row>
    <row r="32" spans="1:36" ht="15.75" thickBot="1" x14ac:dyDescent="0.3">
      <c r="A32" s="49" t="s">
        <v>13</v>
      </c>
      <c r="B32" s="48">
        <f t="shared" si="4"/>
        <v>30</v>
      </c>
      <c r="C32" s="301"/>
      <c r="D32" s="47" t="s">
        <v>2</v>
      </c>
      <c r="E32" s="28" t="s">
        <v>0</v>
      </c>
      <c r="F32" s="28" t="s">
        <v>0</v>
      </c>
      <c r="G32" s="30" t="s">
        <v>2</v>
      </c>
      <c r="H32" s="30" t="s">
        <v>2</v>
      </c>
      <c r="I32" s="30" t="s">
        <v>2</v>
      </c>
      <c r="J32" s="30" t="s">
        <v>2</v>
      </c>
      <c r="K32" s="30" t="s">
        <v>2</v>
      </c>
      <c r="L32" s="28" t="s">
        <v>0</v>
      </c>
      <c r="M32" s="28" t="s">
        <v>0</v>
      </c>
      <c r="N32" s="30" t="s">
        <v>2</v>
      </c>
      <c r="O32" s="30" t="s">
        <v>2</v>
      </c>
      <c r="P32" s="30" t="s">
        <v>2</v>
      </c>
      <c r="Q32" s="30" t="s">
        <v>2</v>
      </c>
      <c r="R32" s="30" t="s">
        <v>2</v>
      </c>
      <c r="S32" s="28" t="s">
        <v>0</v>
      </c>
      <c r="T32" s="28" t="s">
        <v>0</v>
      </c>
      <c r="U32" s="30" t="s">
        <v>2</v>
      </c>
      <c r="V32" s="30" t="s">
        <v>2</v>
      </c>
      <c r="W32" s="30" t="s">
        <v>2</v>
      </c>
      <c r="X32" s="30" t="s">
        <v>2</v>
      </c>
      <c r="Y32" s="30" t="s">
        <v>2</v>
      </c>
      <c r="Z32" s="28" t="s">
        <v>0</v>
      </c>
      <c r="AA32" s="28" t="s">
        <v>0</v>
      </c>
      <c r="AB32" s="30" t="s">
        <v>2</v>
      </c>
      <c r="AC32" s="30" t="s">
        <v>2</v>
      </c>
      <c r="AD32" s="30" t="s">
        <v>31</v>
      </c>
      <c r="AE32" s="30" t="s">
        <v>31</v>
      </c>
      <c r="AF32" s="30" t="s">
        <v>31</v>
      </c>
      <c r="AG32" s="28" t="s">
        <v>0</v>
      </c>
      <c r="AH32" s="104" t="s">
        <v>0</v>
      </c>
      <c r="AI32" s="76">
        <f t="shared" si="5"/>
        <v>3</v>
      </c>
      <c r="AJ32" s="9">
        <f t="shared" si="6"/>
        <v>27</v>
      </c>
    </row>
    <row r="33" spans="1:36" x14ac:dyDescent="0.25">
      <c r="A33" s="46" t="s">
        <v>12</v>
      </c>
      <c r="B33" s="45">
        <f t="shared" si="4"/>
        <v>50</v>
      </c>
      <c r="C33" s="301"/>
      <c r="D33" s="44" t="s">
        <v>2</v>
      </c>
      <c r="E33" s="42" t="s">
        <v>2</v>
      </c>
      <c r="F33" s="42" t="s">
        <v>2</v>
      </c>
      <c r="G33" s="41" t="s">
        <v>1</v>
      </c>
      <c r="H33" s="41" t="s">
        <v>1</v>
      </c>
      <c r="I33" s="41" t="s">
        <v>1</v>
      </c>
      <c r="J33" s="43" t="s">
        <v>0</v>
      </c>
      <c r="K33" s="43" t="s">
        <v>0</v>
      </c>
      <c r="L33" s="43" t="s">
        <v>0</v>
      </c>
      <c r="M33" s="42" t="s">
        <v>2</v>
      </c>
      <c r="N33" s="42" t="s">
        <v>2</v>
      </c>
      <c r="O33" s="42" t="s">
        <v>2</v>
      </c>
      <c r="P33" s="41" t="s">
        <v>1</v>
      </c>
      <c r="Q33" s="41" t="s">
        <v>1</v>
      </c>
      <c r="R33" s="41" t="s">
        <v>1</v>
      </c>
      <c r="S33" s="43" t="s">
        <v>0</v>
      </c>
      <c r="T33" s="43" t="s">
        <v>0</v>
      </c>
      <c r="U33" s="43" t="s">
        <v>0</v>
      </c>
      <c r="V33" s="42" t="s">
        <v>2</v>
      </c>
      <c r="W33" s="42" t="s">
        <v>2</v>
      </c>
      <c r="X33" s="42" t="s">
        <v>2</v>
      </c>
      <c r="Y33" s="41" t="s">
        <v>1</v>
      </c>
      <c r="Z33" s="41" t="s">
        <v>1</v>
      </c>
      <c r="AA33" s="41" t="s">
        <v>1</v>
      </c>
      <c r="AB33" s="43" t="s">
        <v>0</v>
      </c>
      <c r="AC33" s="43" t="s">
        <v>0</v>
      </c>
      <c r="AD33" s="43" t="s">
        <v>0</v>
      </c>
      <c r="AE33" s="42" t="s">
        <v>2</v>
      </c>
      <c r="AF33" s="42" t="s">
        <v>2</v>
      </c>
      <c r="AG33" s="42" t="s">
        <v>2</v>
      </c>
      <c r="AH33" s="23" t="s">
        <v>1</v>
      </c>
      <c r="AI33" s="76">
        <f t="shared" si="5"/>
        <v>0</v>
      </c>
      <c r="AJ33" s="9">
        <f t="shared" si="6"/>
        <v>50</v>
      </c>
    </row>
    <row r="34" spans="1:36" x14ac:dyDescent="0.25">
      <c r="A34" s="40" t="s">
        <v>11</v>
      </c>
      <c r="B34" s="39">
        <f t="shared" si="4"/>
        <v>43</v>
      </c>
      <c r="C34" s="301"/>
      <c r="D34" s="38" t="s">
        <v>0</v>
      </c>
      <c r="E34" s="36" t="s">
        <v>0</v>
      </c>
      <c r="F34" s="36" t="s">
        <v>0</v>
      </c>
      <c r="G34" s="35" t="s">
        <v>2</v>
      </c>
      <c r="H34" s="35" t="s">
        <v>2</v>
      </c>
      <c r="I34" s="35" t="s">
        <v>2</v>
      </c>
      <c r="J34" s="37" t="s">
        <v>1</v>
      </c>
      <c r="K34" s="37" t="s">
        <v>1</v>
      </c>
      <c r="L34" s="37" t="s">
        <v>1</v>
      </c>
      <c r="M34" s="36" t="s">
        <v>0</v>
      </c>
      <c r="N34" s="36" t="s">
        <v>0</v>
      </c>
      <c r="O34" s="36" t="s">
        <v>0</v>
      </c>
      <c r="P34" s="36" t="s">
        <v>2</v>
      </c>
      <c r="Q34" s="36" t="s">
        <v>2</v>
      </c>
      <c r="R34" s="36" t="s">
        <v>2</v>
      </c>
      <c r="S34" s="36" t="s">
        <v>1</v>
      </c>
      <c r="T34" s="37" t="s">
        <v>1</v>
      </c>
      <c r="U34" s="37" t="s">
        <v>1</v>
      </c>
      <c r="V34" s="36" t="s">
        <v>0</v>
      </c>
      <c r="W34" s="36" t="s">
        <v>0</v>
      </c>
      <c r="X34" s="36" t="s">
        <v>0</v>
      </c>
      <c r="Y34" s="35" t="s">
        <v>2</v>
      </c>
      <c r="Z34" s="35" t="s">
        <v>2</v>
      </c>
      <c r="AA34" s="35" t="s">
        <v>2</v>
      </c>
      <c r="AB34" s="37" t="s">
        <v>1</v>
      </c>
      <c r="AC34" s="37" t="s">
        <v>1</v>
      </c>
      <c r="AD34" s="37" t="s">
        <v>1</v>
      </c>
      <c r="AE34" s="36" t="s">
        <v>0</v>
      </c>
      <c r="AF34" s="36" t="s">
        <v>0</v>
      </c>
      <c r="AG34" s="36" t="s">
        <v>0</v>
      </c>
      <c r="AH34" s="87" t="s">
        <v>2</v>
      </c>
      <c r="AI34" s="76">
        <f t="shared" si="5"/>
        <v>0</v>
      </c>
      <c r="AJ34" s="9">
        <f t="shared" si="6"/>
        <v>43</v>
      </c>
    </row>
    <row r="35" spans="1:36" ht="15.75" thickBot="1" x14ac:dyDescent="0.3">
      <c r="A35" s="33" t="s">
        <v>10</v>
      </c>
      <c r="B35" s="32">
        <f t="shared" si="4"/>
        <v>37</v>
      </c>
      <c r="C35" s="301"/>
      <c r="D35" s="31" t="s">
        <v>31</v>
      </c>
      <c r="E35" s="29" t="s">
        <v>31</v>
      </c>
      <c r="F35" s="29" t="s">
        <v>31</v>
      </c>
      <c r="G35" s="28" t="s">
        <v>0</v>
      </c>
      <c r="H35" s="28" t="s">
        <v>0</v>
      </c>
      <c r="I35" s="28" t="s">
        <v>0</v>
      </c>
      <c r="J35" s="30" t="s">
        <v>2</v>
      </c>
      <c r="K35" s="30" t="s">
        <v>2</v>
      </c>
      <c r="L35" s="30" t="s">
        <v>2</v>
      </c>
      <c r="M35" s="29" t="s">
        <v>1</v>
      </c>
      <c r="N35" s="29" t="s">
        <v>1</v>
      </c>
      <c r="O35" s="29" t="s">
        <v>1</v>
      </c>
      <c r="P35" s="28" t="s">
        <v>0</v>
      </c>
      <c r="Q35" s="28" t="s">
        <v>0</v>
      </c>
      <c r="R35" s="28" t="s">
        <v>0</v>
      </c>
      <c r="S35" s="30" t="s">
        <v>2</v>
      </c>
      <c r="T35" s="30" t="s">
        <v>2</v>
      </c>
      <c r="U35" s="30" t="s">
        <v>2</v>
      </c>
      <c r="V35" s="29" t="s">
        <v>1</v>
      </c>
      <c r="W35" s="29" t="s">
        <v>1</v>
      </c>
      <c r="X35" s="29" t="s">
        <v>1</v>
      </c>
      <c r="Y35" s="28" t="s">
        <v>0</v>
      </c>
      <c r="Z35" s="28" t="s">
        <v>0</v>
      </c>
      <c r="AA35" s="28" t="s">
        <v>0</v>
      </c>
      <c r="AB35" s="30" t="s">
        <v>2</v>
      </c>
      <c r="AC35" s="30" t="s">
        <v>2</v>
      </c>
      <c r="AD35" s="30" t="s">
        <v>2</v>
      </c>
      <c r="AE35" s="29" t="s">
        <v>1</v>
      </c>
      <c r="AF35" s="29" t="s">
        <v>1</v>
      </c>
      <c r="AG35" s="29" t="s">
        <v>1</v>
      </c>
      <c r="AH35" s="104" t="s">
        <v>0</v>
      </c>
      <c r="AI35" s="76">
        <f t="shared" si="5"/>
        <v>3</v>
      </c>
      <c r="AJ35" s="9">
        <f t="shared" si="6"/>
        <v>34</v>
      </c>
    </row>
    <row r="36" spans="1:36" x14ac:dyDescent="0.25">
      <c r="A36" s="26" t="s">
        <v>9</v>
      </c>
      <c r="B36" s="15">
        <f t="shared" si="4"/>
        <v>50</v>
      </c>
      <c r="C36" s="301"/>
      <c r="D36" s="85" t="s">
        <v>0</v>
      </c>
      <c r="E36" s="43" t="s">
        <v>0</v>
      </c>
      <c r="F36" s="42" t="s">
        <v>1</v>
      </c>
      <c r="G36" s="42" t="s">
        <v>1</v>
      </c>
      <c r="H36" s="42" t="s">
        <v>1</v>
      </c>
      <c r="I36" s="42" t="s">
        <v>1</v>
      </c>
      <c r="J36" s="42" t="s">
        <v>1</v>
      </c>
      <c r="K36" s="42" t="s">
        <v>1</v>
      </c>
      <c r="L36" s="43" t="s">
        <v>0</v>
      </c>
      <c r="M36" s="43" t="s">
        <v>0</v>
      </c>
      <c r="N36" s="43" t="s">
        <v>0</v>
      </c>
      <c r="O36" s="42" t="s">
        <v>2</v>
      </c>
      <c r="P36" s="42" t="s">
        <v>2</v>
      </c>
      <c r="Q36" s="42" t="s">
        <v>2</v>
      </c>
      <c r="R36" s="42" t="s">
        <v>1</v>
      </c>
      <c r="S36" s="42" t="s">
        <v>1</v>
      </c>
      <c r="T36" s="42" t="s">
        <v>1</v>
      </c>
      <c r="U36" s="43" t="s">
        <v>0</v>
      </c>
      <c r="V36" s="43" t="s">
        <v>0</v>
      </c>
      <c r="W36" s="43" t="s">
        <v>0</v>
      </c>
      <c r="X36" s="42" t="s">
        <v>31</v>
      </c>
      <c r="Y36" s="42" t="s">
        <v>2</v>
      </c>
      <c r="Z36" s="42" t="s">
        <v>2</v>
      </c>
      <c r="AA36" s="42" t="s">
        <v>2</v>
      </c>
      <c r="AB36" s="42" t="s">
        <v>2</v>
      </c>
      <c r="AC36" s="42" t="s">
        <v>2</v>
      </c>
      <c r="AD36" s="43" t="s">
        <v>0</v>
      </c>
      <c r="AE36" s="43" t="s">
        <v>0</v>
      </c>
      <c r="AF36" s="43" t="s">
        <v>0</v>
      </c>
      <c r="AG36" s="42" t="s">
        <v>2</v>
      </c>
      <c r="AH36" s="84" t="s">
        <v>2</v>
      </c>
      <c r="AI36" s="76">
        <f t="shared" si="5"/>
        <v>1</v>
      </c>
      <c r="AJ36" s="9">
        <f t="shared" si="6"/>
        <v>49</v>
      </c>
    </row>
    <row r="37" spans="1:36" x14ac:dyDescent="0.25">
      <c r="A37" s="16" t="s">
        <v>7</v>
      </c>
      <c r="B37" s="15">
        <f t="shared" si="4"/>
        <v>42</v>
      </c>
      <c r="C37" s="301"/>
      <c r="D37" s="50" t="s">
        <v>0</v>
      </c>
      <c r="E37" s="35" t="s">
        <v>0</v>
      </c>
      <c r="F37" s="35" t="s">
        <v>2</v>
      </c>
      <c r="G37" s="35" t="s">
        <v>2</v>
      </c>
      <c r="H37" s="35" t="s">
        <v>2</v>
      </c>
      <c r="I37" s="35" t="s">
        <v>2</v>
      </c>
      <c r="J37" s="35" t="s">
        <v>2</v>
      </c>
      <c r="K37" s="35" t="s">
        <v>0</v>
      </c>
      <c r="L37" s="35" t="s">
        <v>0</v>
      </c>
      <c r="M37" s="35" t="s">
        <v>2</v>
      </c>
      <c r="N37" s="35" t="s">
        <v>2</v>
      </c>
      <c r="O37" s="35" t="s">
        <v>2</v>
      </c>
      <c r="P37" s="35" t="s">
        <v>2</v>
      </c>
      <c r="Q37" s="35" t="s">
        <v>2</v>
      </c>
      <c r="R37" s="35" t="s">
        <v>0</v>
      </c>
      <c r="S37" s="35" t="s">
        <v>0</v>
      </c>
      <c r="T37" s="35" t="s">
        <v>2</v>
      </c>
      <c r="U37" s="35" t="s">
        <v>2</v>
      </c>
      <c r="V37" s="35" t="s">
        <v>2</v>
      </c>
      <c r="W37" s="35" t="s">
        <v>2</v>
      </c>
      <c r="X37" s="35" t="s">
        <v>2</v>
      </c>
      <c r="Y37" s="35" t="s">
        <v>0</v>
      </c>
      <c r="Z37" s="35" t="s">
        <v>0</v>
      </c>
      <c r="AA37" s="35" t="s">
        <v>2</v>
      </c>
      <c r="AB37" s="35" t="s">
        <v>2</v>
      </c>
      <c r="AC37" s="35" t="s">
        <v>2</v>
      </c>
      <c r="AD37" s="35" t="s">
        <v>2</v>
      </c>
      <c r="AE37" s="35" t="s">
        <v>2</v>
      </c>
      <c r="AF37" s="35" t="s">
        <v>0</v>
      </c>
      <c r="AG37" s="35" t="s">
        <v>0</v>
      </c>
      <c r="AH37" s="87" t="s">
        <v>2</v>
      </c>
      <c r="AI37" s="76">
        <f t="shared" ref="AI37" si="7">COUNTIF(D37:AH37,"V")</f>
        <v>0</v>
      </c>
      <c r="AJ37" s="9">
        <f t="shared" ref="AJ37" si="8">B37-AI37</f>
        <v>42</v>
      </c>
    </row>
    <row r="38" spans="1:36" x14ac:dyDescent="0.25">
      <c r="A38" s="16" t="s">
        <v>8</v>
      </c>
      <c r="B38" s="15">
        <f t="shared" si="4"/>
        <v>51</v>
      </c>
      <c r="C38" s="301"/>
      <c r="D38" s="50" t="s">
        <v>1</v>
      </c>
      <c r="E38" s="36" t="s">
        <v>1</v>
      </c>
      <c r="F38" s="36" t="s">
        <v>1</v>
      </c>
      <c r="G38" s="36" t="s">
        <v>2</v>
      </c>
      <c r="H38" s="36" t="s">
        <v>2</v>
      </c>
      <c r="I38" s="36" t="s">
        <v>2</v>
      </c>
      <c r="J38" s="35" t="s">
        <v>0</v>
      </c>
      <c r="K38" s="35" t="s">
        <v>0</v>
      </c>
      <c r="L38" s="35" t="s">
        <v>0</v>
      </c>
      <c r="M38" s="36" t="s">
        <v>1</v>
      </c>
      <c r="N38" s="36" t="s">
        <v>1</v>
      </c>
      <c r="O38" s="36" t="s">
        <v>1</v>
      </c>
      <c r="P38" s="36" t="s">
        <v>31</v>
      </c>
      <c r="Q38" s="36" t="s">
        <v>31</v>
      </c>
      <c r="R38" s="36" t="s">
        <v>31</v>
      </c>
      <c r="S38" s="36" t="s">
        <v>0</v>
      </c>
      <c r="T38" s="36" t="s">
        <v>0</v>
      </c>
      <c r="U38" s="36" t="s">
        <v>0</v>
      </c>
      <c r="V38" s="35" t="s">
        <v>2</v>
      </c>
      <c r="W38" s="36" t="s">
        <v>2</v>
      </c>
      <c r="X38" s="36" t="s">
        <v>2</v>
      </c>
      <c r="Y38" s="36" t="s">
        <v>2</v>
      </c>
      <c r="Z38" s="36" t="s">
        <v>2</v>
      </c>
      <c r="AA38" s="36" t="s">
        <v>2</v>
      </c>
      <c r="AB38" s="35" t="s">
        <v>0</v>
      </c>
      <c r="AC38" s="35" t="s">
        <v>0</v>
      </c>
      <c r="AD38" s="35" t="s">
        <v>0</v>
      </c>
      <c r="AE38" s="36" t="s">
        <v>1</v>
      </c>
      <c r="AF38" s="36" t="s">
        <v>1</v>
      </c>
      <c r="AG38" s="36" t="s">
        <v>1</v>
      </c>
      <c r="AH38" s="82" t="s">
        <v>1</v>
      </c>
      <c r="AI38" s="76">
        <f t="shared" si="5"/>
        <v>3</v>
      </c>
      <c r="AJ38" s="9">
        <f t="shared" si="6"/>
        <v>48</v>
      </c>
    </row>
    <row r="39" spans="1:36" x14ac:dyDescent="0.25">
      <c r="A39" s="16" t="s">
        <v>33</v>
      </c>
      <c r="B39" s="15">
        <f t="shared" si="4"/>
        <v>47</v>
      </c>
      <c r="C39" s="301"/>
      <c r="D39" s="50" t="s">
        <v>2</v>
      </c>
      <c r="E39" s="35" t="s">
        <v>2</v>
      </c>
      <c r="F39" s="35" t="s">
        <v>2</v>
      </c>
      <c r="G39" s="35" t="s">
        <v>2</v>
      </c>
      <c r="H39" s="35" t="s">
        <v>2</v>
      </c>
      <c r="I39" s="35" t="s">
        <v>2</v>
      </c>
      <c r="J39" s="35" t="s">
        <v>0</v>
      </c>
      <c r="K39" s="35" t="s">
        <v>0</v>
      </c>
      <c r="L39" s="35" t="s">
        <v>0</v>
      </c>
      <c r="M39" s="35" t="s">
        <v>2</v>
      </c>
      <c r="N39" s="35" t="s">
        <v>2</v>
      </c>
      <c r="O39" s="35" t="s">
        <v>2</v>
      </c>
      <c r="P39" s="35" t="s">
        <v>2</v>
      </c>
      <c r="Q39" s="35" t="s">
        <v>2</v>
      </c>
      <c r="R39" s="35" t="s">
        <v>2</v>
      </c>
      <c r="S39" s="35" t="s">
        <v>0</v>
      </c>
      <c r="T39" s="35" t="s">
        <v>0</v>
      </c>
      <c r="U39" s="35" t="s">
        <v>0</v>
      </c>
      <c r="V39" s="35" t="s">
        <v>1</v>
      </c>
      <c r="W39" s="35" t="s">
        <v>1</v>
      </c>
      <c r="X39" s="35" t="s">
        <v>1</v>
      </c>
      <c r="Y39" s="35" t="s">
        <v>1</v>
      </c>
      <c r="Z39" s="35" t="s">
        <v>1</v>
      </c>
      <c r="AA39" s="35" t="s">
        <v>1</v>
      </c>
      <c r="AB39" s="35" t="s">
        <v>0</v>
      </c>
      <c r="AC39" s="35" t="s">
        <v>0</v>
      </c>
      <c r="AD39" s="35" t="s">
        <v>0</v>
      </c>
      <c r="AE39" s="35" t="s">
        <v>31</v>
      </c>
      <c r="AF39" s="35" t="s">
        <v>31</v>
      </c>
      <c r="AG39" s="35" t="s">
        <v>31</v>
      </c>
      <c r="AH39" s="35" t="s">
        <v>2</v>
      </c>
      <c r="AI39" s="76">
        <f t="shared" si="5"/>
        <v>3</v>
      </c>
      <c r="AJ39" s="9">
        <f t="shared" si="6"/>
        <v>44</v>
      </c>
    </row>
    <row r="40" spans="1:36" x14ac:dyDescent="0.25">
      <c r="A40" s="16" t="s">
        <v>6</v>
      </c>
      <c r="B40" s="15">
        <f t="shared" si="4"/>
        <v>52</v>
      </c>
      <c r="C40" s="301"/>
      <c r="D40" s="50" t="s">
        <v>0</v>
      </c>
      <c r="E40" s="35" t="s">
        <v>0</v>
      </c>
      <c r="F40" s="35" t="s">
        <v>0</v>
      </c>
      <c r="G40" s="37" t="s">
        <v>2</v>
      </c>
      <c r="H40" s="37" t="s">
        <v>2</v>
      </c>
      <c r="I40" s="37" t="s">
        <v>2</v>
      </c>
      <c r="J40" s="37" t="s">
        <v>2</v>
      </c>
      <c r="K40" s="37" t="s">
        <v>2</v>
      </c>
      <c r="L40" s="37" t="s">
        <v>2</v>
      </c>
      <c r="M40" s="37" t="s">
        <v>0</v>
      </c>
      <c r="N40" s="37" t="s">
        <v>0</v>
      </c>
      <c r="O40" s="37" t="s">
        <v>0</v>
      </c>
      <c r="P40" s="35" t="s">
        <v>1</v>
      </c>
      <c r="Q40" s="35" t="s">
        <v>1</v>
      </c>
      <c r="R40" s="35" t="s">
        <v>1</v>
      </c>
      <c r="S40" s="35" t="s">
        <v>31</v>
      </c>
      <c r="T40" s="35" t="s">
        <v>31</v>
      </c>
      <c r="U40" s="35" t="s">
        <v>1</v>
      </c>
      <c r="V40" s="35" t="s">
        <v>0</v>
      </c>
      <c r="W40" s="35" t="s">
        <v>0</v>
      </c>
      <c r="X40" s="35" t="s">
        <v>0</v>
      </c>
      <c r="Y40" s="37" t="s">
        <v>2</v>
      </c>
      <c r="Z40" s="37" t="s">
        <v>2</v>
      </c>
      <c r="AA40" s="37" t="s">
        <v>2</v>
      </c>
      <c r="AB40" s="37" t="s">
        <v>2</v>
      </c>
      <c r="AC40" s="37" t="s">
        <v>2</v>
      </c>
      <c r="AD40" s="37" t="s">
        <v>2</v>
      </c>
      <c r="AE40" s="37" t="s">
        <v>0</v>
      </c>
      <c r="AF40" s="37" t="s">
        <v>0</v>
      </c>
      <c r="AG40" s="37" t="s">
        <v>0</v>
      </c>
      <c r="AH40" s="87" t="s">
        <v>1</v>
      </c>
      <c r="AI40" s="76">
        <f t="shared" si="5"/>
        <v>2</v>
      </c>
      <c r="AJ40" s="9">
        <f t="shared" si="6"/>
        <v>50</v>
      </c>
    </row>
    <row r="41" spans="1:36" x14ac:dyDescent="0.25">
      <c r="A41" s="16" t="s">
        <v>5</v>
      </c>
      <c r="B41" s="15">
        <f t="shared" si="4"/>
        <v>49</v>
      </c>
      <c r="C41" s="301"/>
      <c r="D41" s="50" t="s">
        <v>0</v>
      </c>
      <c r="E41" s="35" t="s">
        <v>0</v>
      </c>
      <c r="F41" s="35" t="s">
        <v>0</v>
      </c>
      <c r="G41" s="35" t="s">
        <v>1</v>
      </c>
      <c r="H41" s="35" t="s">
        <v>1</v>
      </c>
      <c r="I41" s="35" t="s">
        <v>1</v>
      </c>
      <c r="J41" s="35" t="s">
        <v>1</v>
      </c>
      <c r="K41" s="35" t="s">
        <v>1</v>
      </c>
      <c r="L41" s="35" t="s">
        <v>1</v>
      </c>
      <c r="M41" s="37" t="s">
        <v>0</v>
      </c>
      <c r="N41" s="37" t="s">
        <v>0</v>
      </c>
      <c r="O41" s="37" t="s">
        <v>0</v>
      </c>
      <c r="P41" s="36" t="s">
        <v>2</v>
      </c>
      <c r="Q41" s="36" t="s">
        <v>2</v>
      </c>
      <c r="R41" s="36" t="s">
        <v>2</v>
      </c>
      <c r="S41" s="36" t="s">
        <v>2</v>
      </c>
      <c r="T41" s="36" t="s">
        <v>2</v>
      </c>
      <c r="U41" s="36" t="s">
        <v>2</v>
      </c>
      <c r="V41" s="35" t="s">
        <v>0</v>
      </c>
      <c r="W41" s="35" t="s">
        <v>0</v>
      </c>
      <c r="X41" s="35" t="s">
        <v>0</v>
      </c>
      <c r="Y41" s="35" t="s">
        <v>1</v>
      </c>
      <c r="Z41" s="35" t="s">
        <v>1</v>
      </c>
      <c r="AA41" s="35" t="s">
        <v>1</v>
      </c>
      <c r="AB41" s="35" t="s">
        <v>1</v>
      </c>
      <c r="AC41" s="35" t="s">
        <v>1</v>
      </c>
      <c r="AD41" s="35" t="s">
        <v>1</v>
      </c>
      <c r="AE41" s="37" t="s">
        <v>0</v>
      </c>
      <c r="AF41" s="37" t="s">
        <v>0</v>
      </c>
      <c r="AG41" s="37" t="s">
        <v>0</v>
      </c>
      <c r="AH41" s="82" t="s">
        <v>2</v>
      </c>
      <c r="AI41" s="76">
        <f t="shared" si="5"/>
        <v>0</v>
      </c>
      <c r="AJ41" s="9">
        <f t="shared" si="6"/>
        <v>49</v>
      </c>
    </row>
    <row r="42" spans="1:36" x14ac:dyDescent="0.25">
      <c r="A42" s="16" t="s">
        <v>4</v>
      </c>
      <c r="B42" s="15">
        <f t="shared" si="4"/>
        <v>52</v>
      </c>
      <c r="C42" s="301"/>
      <c r="D42" s="50" t="s">
        <v>2</v>
      </c>
      <c r="E42" s="35" t="s">
        <v>2</v>
      </c>
      <c r="F42" s="35" t="s">
        <v>2</v>
      </c>
      <c r="G42" s="35" t="s">
        <v>0</v>
      </c>
      <c r="H42" s="35" t="s">
        <v>0</v>
      </c>
      <c r="I42" s="35" t="s">
        <v>0</v>
      </c>
      <c r="J42" s="36" t="s">
        <v>31</v>
      </c>
      <c r="K42" s="36" t="s">
        <v>31</v>
      </c>
      <c r="L42" s="36" t="s">
        <v>31</v>
      </c>
      <c r="M42" s="36" t="s">
        <v>31</v>
      </c>
      <c r="N42" s="36" t="s">
        <v>31</v>
      </c>
      <c r="O42" s="36" t="s">
        <v>1</v>
      </c>
      <c r="P42" s="36" t="s">
        <v>0</v>
      </c>
      <c r="Q42" s="36" t="s">
        <v>0</v>
      </c>
      <c r="R42" s="36" t="s">
        <v>0</v>
      </c>
      <c r="S42" s="35" t="s">
        <v>2</v>
      </c>
      <c r="T42" s="35" t="s">
        <v>2</v>
      </c>
      <c r="U42" s="35" t="s">
        <v>2</v>
      </c>
      <c r="V42" s="35" t="s">
        <v>2</v>
      </c>
      <c r="W42" s="35" t="s">
        <v>2</v>
      </c>
      <c r="X42" s="35" t="s">
        <v>2</v>
      </c>
      <c r="Y42" s="35" t="s">
        <v>0</v>
      </c>
      <c r="Z42" s="35" t="s">
        <v>0</v>
      </c>
      <c r="AA42" s="35" t="s">
        <v>0</v>
      </c>
      <c r="AB42" s="36" t="s">
        <v>1</v>
      </c>
      <c r="AC42" s="36" t="s">
        <v>1</v>
      </c>
      <c r="AD42" s="36" t="s">
        <v>1</v>
      </c>
      <c r="AE42" s="36" t="s">
        <v>1</v>
      </c>
      <c r="AF42" s="36" t="s">
        <v>1</v>
      </c>
      <c r="AG42" s="36" t="s">
        <v>1</v>
      </c>
      <c r="AH42" s="82" t="s">
        <v>0</v>
      </c>
      <c r="AI42" s="76">
        <f t="shared" si="5"/>
        <v>5</v>
      </c>
      <c r="AJ42" s="9">
        <f t="shared" si="6"/>
        <v>47</v>
      </c>
    </row>
    <row r="43" spans="1:36" ht="15.75" thickBot="1" x14ac:dyDescent="0.3">
      <c r="A43" s="8" t="s">
        <v>3</v>
      </c>
      <c r="B43" s="7">
        <f t="shared" si="4"/>
        <v>44</v>
      </c>
      <c r="C43" s="302"/>
      <c r="D43" s="110" t="s">
        <v>31</v>
      </c>
      <c r="E43" s="28" t="s">
        <v>31</v>
      </c>
      <c r="F43" s="28" t="s">
        <v>1</v>
      </c>
      <c r="G43" s="30" t="s">
        <v>0</v>
      </c>
      <c r="H43" s="30" t="s">
        <v>0</v>
      </c>
      <c r="I43" s="30" t="s">
        <v>0</v>
      </c>
      <c r="J43" s="30" t="s">
        <v>2</v>
      </c>
      <c r="K43" s="30" t="s">
        <v>2</v>
      </c>
      <c r="L43" s="30" t="s">
        <v>2</v>
      </c>
      <c r="M43" s="30" t="s">
        <v>2</v>
      </c>
      <c r="N43" s="30" t="s">
        <v>2</v>
      </c>
      <c r="O43" s="30" t="s">
        <v>2</v>
      </c>
      <c r="P43" s="30" t="s">
        <v>0</v>
      </c>
      <c r="Q43" s="30" t="s">
        <v>0</v>
      </c>
      <c r="R43" s="30" t="s">
        <v>0</v>
      </c>
      <c r="S43" s="28" t="s">
        <v>1</v>
      </c>
      <c r="T43" s="28" t="s">
        <v>1</v>
      </c>
      <c r="U43" s="28" t="s">
        <v>1</v>
      </c>
      <c r="V43" s="28" t="s">
        <v>1</v>
      </c>
      <c r="W43" s="28" t="s">
        <v>1</v>
      </c>
      <c r="X43" s="28" t="s">
        <v>1</v>
      </c>
      <c r="Y43" s="30" t="s">
        <v>0</v>
      </c>
      <c r="Z43" s="30" t="s">
        <v>0</v>
      </c>
      <c r="AA43" s="30" t="s">
        <v>0</v>
      </c>
      <c r="AB43" s="30" t="s">
        <v>2</v>
      </c>
      <c r="AC43" s="30" t="s">
        <v>2</v>
      </c>
      <c r="AD43" s="30" t="s">
        <v>2</v>
      </c>
      <c r="AE43" s="30" t="s">
        <v>2</v>
      </c>
      <c r="AF43" s="30" t="s">
        <v>2</v>
      </c>
      <c r="AG43" s="30" t="s">
        <v>2</v>
      </c>
      <c r="AH43" s="86" t="s">
        <v>0</v>
      </c>
      <c r="AI43" s="73">
        <f t="shared" si="5"/>
        <v>2</v>
      </c>
      <c r="AJ43" s="1">
        <f t="shared" si="6"/>
        <v>42</v>
      </c>
    </row>
    <row r="44" spans="1:36" ht="21.75" thickBot="1" x14ac:dyDescent="0.3">
      <c r="A44" s="91"/>
      <c r="B44" s="91"/>
      <c r="C44" s="93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1"/>
      <c r="AJ44" s="91"/>
    </row>
    <row r="45" spans="1:36" ht="15" customHeight="1" x14ac:dyDescent="0.25">
      <c r="A45" s="240" t="s">
        <v>30</v>
      </c>
      <c r="B45" s="242" t="s">
        <v>29</v>
      </c>
      <c r="C45" s="297">
        <v>45809</v>
      </c>
      <c r="D45" s="90" t="s">
        <v>26</v>
      </c>
      <c r="E45" s="71" t="s">
        <v>25</v>
      </c>
      <c r="F45" s="71" t="s">
        <v>24</v>
      </c>
      <c r="G45" s="71" t="s">
        <v>23</v>
      </c>
      <c r="H45" s="71" t="s">
        <v>22</v>
      </c>
      <c r="I45" s="71" t="s">
        <v>28</v>
      </c>
      <c r="J45" s="71" t="s">
        <v>27</v>
      </c>
      <c r="K45" s="71" t="s">
        <v>26</v>
      </c>
      <c r="L45" s="71" t="s">
        <v>25</v>
      </c>
      <c r="M45" s="71" t="s">
        <v>24</v>
      </c>
      <c r="N45" s="71" t="s">
        <v>23</v>
      </c>
      <c r="O45" s="71" t="s">
        <v>22</v>
      </c>
      <c r="P45" s="71" t="s">
        <v>28</v>
      </c>
      <c r="Q45" s="71" t="s">
        <v>27</v>
      </c>
      <c r="R45" s="71" t="s">
        <v>26</v>
      </c>
      <c r="S45" s="71" t="s">
        <v>25</v>
      </c>
      <c r="T45" s="71" t="s">
        <v>24</v>
      </c>
      <c r="U45" s="71" t="s">
        <v>23</v>
      </c>
      <c r="V45" s="71" t="s">
        <v>22</v>
      </c>
      <c r="W45" s="71" t="s">
        <v>28</v>
      </c>
      <c r="X45" s="71" t="s">
        <v>27</v>
      </c>
      <c r="Y45" s="71" t="s">
        <v>26</v>
      </c>
      <c r="Z45" s="71" t="s">
        <v>25</v>
      </c>
      <c r="AA45" s="71" t="s">
        <v>24</v>
      </c>
      <c r="AB45" s="71" t="s">
        <v>23</v>
      </c>
      <c r="AC45" s="71" t="s">
        <v>22</v>
      </c>
      <c r="AD45" s="71" t="s">
        <v>28</v>
      </c>
      <c r="AE45" s="71" t="s">
        <v>27</v>
      </c>
      <c r="AF45" s="70" t="s">
        <v>26</v>
      </c>
      <c r="AG45" s="70" t="s">
        <v>25</v>
      </c>
      <c r="AH45" s="114"/>
      <c r="AI45" s="248" t="s">
        <v>21</v>
      </c>
      <c r="AJ45" s="250" t="s">
        <v>20</v>
      </c>
    </row>
    <row r="46" spans="1:36" ht="15.75" thickBot="1" x14ac:dyDescent="0.3">
      <c r="A46" s="241"/>
      <c r="B46" s="243"/>
      <c r="C46" s="298"/>
      <c r="D46" s="89">
        <v>1</v>
      </c>
      <c r="E46" s="67">
        <v>2</v>
      </c>
      <c r="F46" s="67">
        <v>3</v>
      </c>
      <c r="G46" s="67">
        <v>4</v>
      </c>
      <c r="H46" s="67">
        <v>5</v>
      </c>
      <c r="I46" s="67">
        <v>6</v>
      </c>
      <c r="J46" s="67">
        <v>7</v>
      </c>
      <c r="K46" s="67">
        <v>8</v>
      </c>
      <c r="L46" s="67">
        <v>9</v>
      </c>
      <c r="M46" s="67">
        <v>10</v>
      </c>
      <c r="N46" s="67">
        <v>11</v>
      </c>
      <c r="O46" s="67">
        <v>12</v>
      </c>
      <c r="P46" s="67">
        <v>13</v>
      </c>
      <c r="Q46" s="67">
        <v>14</v>
      </c>
      <c r="R46" s="67">
        <v>15</v>
      </c>
      <c r="S46" s="67">
        <v>16</v>
      </c>
      <c r="T46" s="67">
        <v>17</v>
      </c>
      <c r="U46" s="67">
        <v>18</v>
      </c>
      <c r="V46" s="67">
        <v>19</v>
      </c>
      <c r="W46" s="67">
        <v>20</v>
      </c>
      <c r="X46" s="67">
        <v>21</v>
      </c>
      <c r="Y46" s="67">
        <v>22</v>
      </c>
      <c r="Z46" s="67">
        <v>23</v>
      </c>
      <c r="AA46" s="67">
        <v>24</v>
      </c>
      <c r="AB46" s="67">
        <v>25</v>
      </c>
      <c r="AC46" s="67">
        <v>26</v>
      </c>
      <c r="AD46" s="67">
        <v>27</v>
      </c>
      <c r="AE46" s="67">
        <v>28</v>
      </c>
      <c r="AF46" s="67">
        <v>29</v>
      </c>
      <c r="AG46" s="66">
        <v>30</v>
      </c>
      <c r="AH46" s="112"/>
      <c r="AI46" s="249"/>
      <c r="AJ46" s="251"/>
    </row>
    <row r="47" spans="1:36" x14ac:dyDescent="0.25">
      <c r="A47" s="64" t="s">
        <v>19</v>
      </c>
      <c r="B47" s="63">
        <f t="shared" ref="B47:B64" si="9">AJ26</f>
        <v>33</v>
      </c>
      <c r="C47" s="298"/>
      <c r="D47" s="85" t="s">
        <v>0</v>
      </c>
      <c r="E47" s="42" t="s">
        <v>2</v>
      </c>
      <c r="F47" s="42" t="s">
        <v>2</v>
      </c>
      <c r="G47" s="42" t="s">
        <v>2</v>
      </c>
      <c r="H47" s="42" t="s">
        <v>31</v>
      </c>
      <c r="I47" s="42" t="s">
        <v>31</v>
      </c>
      <c r="J47" s="42" t="s">
        <v>0</v>
      </c>
      <c r="K47" s="42" t="s">
        <v>0</v>
      </c>
      <c r="L47" s="42" t="s">
        <v>2</v>
      </c>
      <c r="M47" s="42" t="s">
        <v>2</v>
      </c>
      <c r="N47" s="42" t="s">
        <v>2</v>
      </c>
      <c r="O47" s="42" t="s">
        <v>2</v>
      </c>
      <c r="P47" s="42" t="s">
        <v>2</v>
      </c>
      <c r="Q47" s="43" t="s">
        <v>0</v>
      </c>
      <c r="R47" s="43" t="s">
        <v>0</v>
      </c>
      <c r="S47" s="42" t="s">
        <v>2</v>
      </c>
      <c r="T47" s="42" t="s">
        <v>2</v>
      </c>
      <c r="U47" s="42" t="s">
        <v>2</v>
      </c>
      <c r="V47" s="42" t="s">
        <v>2</v>
      </c>
      <c r="W47" s="42" t="s">
        <v>2</v>
      </c>
      <c r="X47" s="43" t="s">
        <v>0</v>
      </c>
      <c r="Y47" s="43" t="s">
        <v>0</v>
      </c>
      <c r="Z47" s="42" t="s">
        <v>2</v>
      </c>
      <c r="AA47" s="42" t="s">
        <v>2</v>
      </c>
      <c r="AB47" s="42" t="s">
        <v>2</v>
      </c>
      <c r="AC47" s="42" t="s">
        <v>2</v>
      </c>
      <c r="AD47" s="42" t="s">
        <v>2</v>
      </c>
      <c r="AE47" s="43" t="s">
        <v>0</v>
      </c>
      <c r="AF47" s="43" t="s">
        <v>0</v>
      </c>
      <c r="AG47" s="62" t="s">
        <v>2</v>
      </c>
      <c r="AH47" s="112"/>
      <c r="AI47" s="88">
        <f t="shared" ref="AI47:AI64" si="10">COUNTIF(D47:AG47,"V")</f>
        <v>2</v>
      </c>
      <c r="AJ47" s="60">
        <f t="shared" ref="AJ47:AJ64" si="11">B47-AI47</f>
        <v>31</v>
      </c>
    </row>
    <row r="48" spans="1:36" x14ac:dyDescent="0.25">
      <c r="A48" s="59" t="s">
        <v>18</v>
      </c>
      <c r="B48" s="58">
        <f t="shared" si="9"/>
        <v>27</v>
      </c>
      <c r="C48" s="298"/>
      <c r="D48" s="38" t="s">
        <v>0</v>
      </c>
      <c r="E48" s="35" t="s">
        <v>2</v>
      </c>
      <c r="F48" s="35" t="s">
        <v>2</v>
      </c>
      <c r="G48" s="35" t="s">
        <v>2</v>
      </c>
      <c r="H48" s="35" t="s">
        <v>2</v>
      </c>
      <c r="I48" s="35" t="s">
        <v>2</v>
      </c>
      <c r="J48" s="36" t="s">
        <v>0</v>
      </c>
      <c r="K48" s="36" t="s">
        <v>0</v>
      </c>
      <c r="L48" s="35" t="s">
        <v>2</v>
      </c>
      <c r="M48" s="35" t="s">
        <v>2</v>
      </c>
      <c r="N48" s="35" t="s">
        <v>2</v>
      </c>
      <c r="O48" s="35" t="s">
        <v>2</v>
      </c>
      <c r="P48" s="35" t="s">
        <v>2</v>
      </c>
      <c r="Q48" s="36" t="s">
        <v>0</v>
      </c>
      <c r="R48" s="36" t="s">
        <v>0</v>
      </c>
      <c r="S48" s="35" t="s">
        <v>2</v>
      </c>
      <c r="T48" s="35" t="s">
        <v>2</v>
      </c>
      <c r="U48" s="35" t="s">
        <v>2</v>
      </c>
      <c r="V48" s="35" t="s">
        <v>2</v>
      </c>
      <c r="W48" s="35" t="s">
        <v>2</v>
      </c>
      <c r="X48" s="36" t="s">
        <v>0</v>
      </c>
      <c r="Y48" s="36" t="s">
        <v>0</v>
      </c>
      <c r="Z48" s="35" t="s">
        <v>2</v>
      </c>
      <c r="AA48" s="35" t="s">
        <v>2</v>
      </c>
      <c r="AB48" s="35" t="s">
        <v>2</v>
      </c>
      <c r="AC48" s="35" t="s">
        <v>2</v>
      </c>
      <c r="AD48" s="35" t="s">
        <v>2</v>
      </c>
      <c r="AE48" s="36" t="s">
        <v>0</v>
      </c>
      <c r="AF48" s="36" t="s">
        <v>0</v>
      </c>
      <c r="AG48" s="34" t="s">
        <v>2</v>
      </c>
      <c r="AH48" s="112"/>
      <c r="AI48" s="76">
        <f t="shared" si="10"/>
        <v>0</v>
      </c>
      <c r="AJ48" s="9">
        <f t="shared" si="11"/>
        <v>27</v>
      </c>
    </row>
    <row r="49" spans="1:36" x14ac:dyDescent="0.25">
      <c r="A49" s="59" t="s">
        <v>17</v>
      </c>
      <c r="B49" s="58">
        <f t="shared" si="9"/>
        <v>26</v>
      </c>
      <c r="C49" s="298"/>
      <c r="D49" s="50" t="s">
        <v>2</v>
      </c>
      <c r="E49" s="35" t="s">
        <v>2</v>
      </c>
      <c r="F49" s="35" t="s">
        <v>2</v>
      </c>
      <c r="G49" s="35" t="s">
        <v>2</v>
      </c>
      <c r="H49" s="36" t="s">
        <v>0</v>
      </c>
      <c r="I49" s="36" t="s">
        <v>0</v>
      </c>
      <c r="J49" s="35" t="s">
        <v>2</v>
      </c>
      <c r="K49" s="35" t="s">
        <v>2</v>
      </c>
      <c r="L49" s="35" t="s">
        <v>2</v>
      </c>
      <c r="M49" s="35" t="s">
        <v>2</v>
      </c>
      <c r="N49" s="35" t="s">
        <v>2</v>
      </c>
      <c r="O49" s="36" t="s">
        <v>0</v>
      </c>
      <c r="P49" s="36" t="s">
        <v>0</v>
      </c>
      <c r="Q49" s="35" t="s">
        <v>2</v>
      </c>
      <c r="R49" s="35" t="s">
        <v>2</v>
      </c>
      <c r="S49" s="35" t="s">
        <v>35</v>
      </c>
      <c r="T49" s="35" t="s">
        <v>2</v>
      </c>
      <c r="U49" s="35" t="s">
        <v>2</v>
      </c>
      <c r="V49" s="36" t="s">
        <v>0</v>
      </c>
      <c r="W49" s="36" t="s">
        <v>0</v>
      </c>
      <c r="X49" s="35" t="s">
        <v>2</v>
      </c>
      <c r="Y49" s="35" t="s">
        <v>2</v>
      </c>
      <c r="Z49" s="35" t="s">
        <v>2</v>
      </c>
      <c r="AA49" s="35" t="s">
        <v>31</v>
      </c>
      <c r="AB49" s="35" t="s">
        <v>2</v>
      </c>
      <c r="AC49" s="36" t="s">
        <v>0</v>
      </c>
      <c r="AD49" s="36" t="s">
        <v>0</v>
      </c>
      <c r="AE49" s="35" t="s">
        <v>2</v>
      </c>
      <c r="AF49" s="35" t="s">
        <v>2</v>
      </c>
      <c r="AG49" s="34" t="s">
        <v>2</v>
      </c>
      <c r="AH49" s="112"/>
      <c r="AI49" s="76">
        <f t="shared" si="10"/>
        <v>1</v>
      </c>
      <c r="AJ49" s="9">
        <f t="shared" si="11"/>
        <v>25</v>
      </c>
    </row>
    <row r="50" spans="1:36" ht="15.75" thickBot="1" x14ac:dyDescent="0.3">
      <c r="A50" s="57" t="s">
        <v>16</v>
      </c>
      <c r="B50" s="56">
        <f t="shared" si="9"/>
        <v>19</v>
      </c>
      <c r="C50" s="298"/>
      <c r="D50" s="47" t="s">
        <v>2</v>
      </c>
      <c r="E50" s="30" t="s">
        <v>31</v>
      </c>
      <c r="F50" s="30" t="s">
        <v>2</v>
      </c>
      <c r="G50" s="30" t="s">
        <v>2</v>
      </c>
      <c r="H50" s="28" t="s">
        <v>0</v>
      </c>
      <c r="I50" s="28" t="s">
        <v>0</v>
      </c>
      <c r="J50" s="30" t="s">
        <v>2</v>
      </c>
      <c r="K50" s="30" t="s">
        <v>2</v>
      </c>
      <c r="L50" s="30" t="s">
        <v>2</v>
      </c>
      <c r="M50" s="30" t="s">
        <v>2</v>
      </c>
      <c r="N50" s="30" t="s">
        <v>2</v>
      </c>
      <c r="O50" s="28" t="s">
        <v>0</v>
      </c>
      <c r="P50" s="28" t="s">
        <v>0</v>
      </c>
      <c r="Q50" s="30" t="s">
        <v>2</v>
      </c>
      <c r="R50" s="30" t="s">
        <v>2</v>
      </c>
      <c r="S50" s="30" t="s">
        <v>2</v>
      </c>
      <c r="T50" s="30" t="s">
        <v>2</v>
      </c>
      <c r="U50" s="30" t="s">
        <v>2</v>
      </c>
      <c r="V50" s="28" t="s">
        <v>0</v>
      </c>
      <c r="W50" s="28" t="s">
        <v>0</v>
      </c>
      <c r="X50" s="30" t="s">
        <v>2</v>
      </c>
      <c r="Y50" s="30" t="s">
        <v>2</v>
      </c>
      <c r="Z50" s="30" t="s">
        <v>2</v>
      </c>
      <c r="AA50" s="30" t="s">
        <v>2</v>
      </c>
      <c r="AB50" s="30" t="s">
        <v>2</v>
      </c>
      <c r="AC50" s="28" t="s">
        <v>0</v>
      </c>
      <c r="AD50" s="28" t="s">
        <v>0</v>
      </c>
      <c r="AE50" s="30" t="s">
        <v>2</v>
      </c>
      <c r="AF50" s="30" t="s">
        <v>2</v>
      </c>
      <c r="AG50" s="124" t="s">
        <v>2</v>
      </c>
      <c r="AH50" s="112"/>
      <c r="AI50" s="76">
        <f t="shared" si="10"/>
        <v>1</v>
      </c>
      <c r="AJ50" s="9">
        <f t="shared" si="11"/>
        <v>18</v>
      </c>
    </row>
    <row r="51" spans="1:36" x14ac:dyDescent="0.25">
      <c r="A51" s="55" t="s">
        <v>15</v>
      </c>
      <c r="B51" s="54">
        <f t="shared" si="9"/>
        <v>33</v>
      </c>
      <c r="C51" s="298"/>
      <c r="D51" s="44" t="s">
        <v>2</v>
      </c>
      <c r="E51" s="42" t="s">
        <v>2</v>
      </c>
      <c r="F51" s="42" t="s">
        <v>2</v>
      </c>
      <c r="G51" s="42" t="s">
        <v>2</v>
      </c>
      <c r="H51" s="42" t="s">
        <v>2</v>
      </c>
      <c r="I51" s="43" t="s">
        <v>0</v>
      </c>
      <c r="J51" s="43" t="s">
        <v>0</v>
      </c>
      <c r="K51" s="42" t="s">
        <v>2</v>
      </c>
      <c r="L51" s="42" t="s">
        <v>2</v>
      </c>
      <c r="M51" s="42" t="s">
        <v>2</v>
      </c>
      <c r="N51" s="42" t="s">
        <v>2</v>
      </c>
      <c r="O51" s="42" t="s">
        <v>2</v>
      </c>
      <c r="P51" s="43" t="s">
        <v>0</v>
      </c>
      <c r="Q51" s="43" t="s">
        <v>0</v>
      </c>
      <c r="R51" s="42" t="s">
        <v>2</v>
      </c>
      <c r="S51" s="42" t="s">
        <v>2</v>
      </c>
      <c r="T51" s="42" t="s">
        <v>2</v>
      </c>
      <c r="U51" s="42" t="s">
        <v>2</v>
      </c>
      <c r="V51" s="42" t="s">
        <v>2</v>
      </c>
      <c r="W51" s="43" t="s">
        <v>0</v>
      </c>
      <c r="X51" s="43" t="s">
        <v>0</v>
      </c>
      <c r="Y51" s="42" t="s">
        <v>2</v>
      </c>
      <c r="Z51" s="42" t="s">
        <v>2</v>
      </c>
      <c r="AA51" s="42" t="s">
        <v>2</v>
      </c>
      <c r="AB51" s="42" t="s">
        <v>2</v>
      </c>
      <c r="AC51" s="42" t="s">
        <v>2</v>
      </c>
      <c r="AD51" s="43" t="s">
        <v>0</v>
      </c>
      <c r="AE51" s="43" t="s">
        <v>0</v>
      </c>
      <c r="AF51" s="42" t="s">
        <v>2</v>
      </c>
      <c r="AG51" s="62" t="s">
        <v>2</v>
      </c>
      <c r="AH51" s="112"/>
      <c r="AI51" s="76">
        <f t="shared" si="10"/>
        <v>0</v>
      </c>
      <c r="AJ51" s="9">
        <f t="shared" si="11"/>
        <v>33</v>
      </c>
    </row>
    <row r="52" spans="1:36" ht="14.25" customHeight="1" thickBot="1" x14ac:dyDescent="0.3">
      <c r="A52" s="52" t="s">
        <v>14</v>
      </c>
      <c r="B52" s="51">
        <f t="shared" si="9"/>
        <v>37</v>
      </c>
      <c r="C52" s="298"/>
      <c r="D52" s="50" t="s">
        <v>2</v>
      </c>
      <c r="E52" s="35" t="s">
        <v>2</v>
      </c>
      <c r="F52" s="35" t="s">
        <v>2</v>
      </c>
      <c r="G52" s="35" t="s">
        <v>2</v>
      </c>
      <c r="H52" s="35" t="s">
        <v>31</v>
      </c>
      <c r="I52" s="36" t="s">
        <v>0</v>
      </c>
      <c r="J52" s="36" t="s">
        <v>0</v>
      </c>
      <c r="K52" s="30" t="s">
        <v>31</v>
      </c>
      <c r="L52" s="30" t="s">
        <v>31</v>
      </c>
      <c r="M52" s="30" t="s">
        <v>31</v>
      </c>
      <c r="N52" s="30" t="s">
        <v>31</v>
      </c>
      <c r="O52" s="30" t="s">
        <v>31</v>
      </c>
      <c r="P52" s="36" t="s">
        <v>0</v>
      </c>
      <c r="Q52" s="36" t="s">
        <v>0</v>
      </c>
      <c r="R52" s="35" t="s">
        <v>2</v>
      </c>
      <c r="S52" s="35" t="s">
        <v>2</v>
      </c>
      <c r="T52" s="35" t="s">
        <v>2</v>
      </c>
      <c r="U52" s="35" t="s">
        <v>2</v>
      </c>
      <c r="V52" s="35" t="s">
        <v>2</v>
      </c>
      <c r="W52" s="36" t="s">
        <v>0</v>
      </c>
      <c r="X52" s="36" t="s">
        <v>0</v>
      </c>
      <c r="Y52" s="35" t="s">
        <v>2</v>
      </c>
      <c r="Z52" s="35" t="s">
        <v>2</v>
      </c>
      <c r="AA52" s="35" t="s">
        <v>2</v>
      </c>
      <c r="AB52" s="35" t="s">
        <v>2</v>
      </c>
      <c r="AC52" s="35" t="s">
        <v>2</v>
      </c>
      <c r="AD52" s="36" t="s">
        <v>0</v>
      </c>
      <c r="AE52" s="36" t="s">
        <v>0</v>
      </c>
      <c r="AF52" s="35" t="s">
        <v>2</v>
      </c>
      <c r="AG52" s="34" t="s">
        <v>2</v>
      </c>
      <c r="AH52" s="112"/>
      <c r="AI52" s="76">
        <f t="shared" si="10"/>
        <v>6</v>
      </c>
      <c r="AJ52" s="9">
        <f t="shared" si="11"/>
        <v>31</v>
      </c>
    </row>
    <row r="53" spans="1:36" ht="15.75" thickBot="1" x14ac:dyDescent="0.3">
      <c r="A53" s="49" t="s">
        <v>13</v>
      </c>
      <c r="B53" s="48">
        <f t="shared" si="9"/>
        <v>27</v>
      </c>
      <c r="C53" s="298"/>
      <c r="D53" s="47" t="s">
        <v>2</v>
      </c>
      <c r="E53" s="30" t="s">
        <v>2</v>
      </c>
      <c r="F53" s="30" t="s">
        <v>2</v>
      </c>
      <c r="G53" s="30" t="s">
        <v>2</v>
      </c>
      <c r="H53" s="30" t="s">
        <v>2</v>
      </c>
      <c r="I53" s="28" t="s">
        <v>0</v>
      </c>
      <c r="J53" s="28" t="s">
        <v>0</v>
      </c>
      <c r="K53" s="30" t="s">
        <v>2</v>
      </c>
      <c r="L53" s="30" t="s">
        <v>2</v>
      </c>
      <c r="M53" s="30" t="s">
        <v>2</v>
      </c>
      <c r="N53" s="30" t="s">
        <v>2</v>
      </c>
      <c r="O53" s="30" t="s">
        <v>2</v>
      </c>
      <c r="P53" s="28" t="s">
        <v>0</v>
      </c>
      <c r="Q53" s="28" t="s">
        <v>0</v>
      </c>
      <c r="R53" s="30" t="s">
        <v>2</v>
      </c>
      <c r="S53" s="30" t="s">
        <v>2</v>
      </c>
      <c r="T53" s="30" t="s">
        <v>2</v>
      </c>
      <c r="U53" s="30" t="s">
        <v>2</v>
      </c>
      <c r="V53" s="30" t="s">
        <v>2</v>
      </c>
      <c r="W53" s="28" t="s">
        <v>0</v>
      </c>
      <c r="X53" s="28" t="s">
        <v>0</v>
      </c>
      <c r="Y53" s="30" t="s">
        <v>2</v>
      </c>
      <c r="Z53" s="30" t="s">
        <v>2</v>
      </c>
      <c r="AA53" s="30" t="s">
        <v>2</v>
      </c>
      <c r="AB53" s="30" t="s">
        <v>2</v>
      </c>
      <c r="AC53" s="30" t="s">
        <v>2</v>
      </c>
      <c r="AD53" s="28" t="s">
        <v>0</v>
      </c>
      <c r="AE53" s="28" t="s">
        <v>0</v>
      </c>
      <c r="AF53" s="30" t="s">
        <v>2</v>
      </c>
      <c r="AG53" s="124" t="s">
        <v>2</v>
      </c>
      <c r="AH53" s="112"/>
      <c r="AI53" s="76">
        <f t="shared" si="10"/>
        <v>0</v>
      </c>
      <c r="AJ53" s="9">
        <f t="shared" si="11"/>
        <v>27</v>
      </c>
    </row>
    <row r="54" spans="1:36" x14ac:dyDescent="0.25">
      <c r="A54" s="46" t="s">
        <v>12</v>
      </c>
      <c r="B54" s="45">
        <f t="shared" si="9"/>
        <v>50</v>
      </c>
      <c r="C54" s="298"/>
      <c r="D54" s="113" t="s">
        <v>1</v>
      </c>
      <c r="E54" s="41" t="s">
        <v>1</v>
      </c>
      <c r="F54" s="43" t="s">
        <v>0</v>
      </c>
      <c r="G54" s="43" t="s">
        <v>0</v>
      </c>
      <c r="H54" s="43" t="s">
        <v>0</v>
      </c>
      <c r="I54" s="23" t="s">
        <v>31</v>
      </c>
      <c r="J54" s="23" t="s">
        <v>31</v>
      </c>
      <c r="K54" s="23" t="s">
        <v>31</v>
      </c>
      <c r="L54" s="42" t="s">
        <v>2</v>
      </c>
      <c r="M54" s="42" t="s">
        <v>2</v>
      </c>
      <c r="N54" s="42" t="s">
        <v>2</v>
      </c>
      <c r="O54" s="43" t="s">
        <v>0</v>
      </c>
      <c r="P54" s="43" t="s">
        <v>0</v>
      </c>
      <c r="Q54" s="43" t="s">
        <v>0</v>
      </c>
      <c r="R54" s="42" t="s">
        <v>2</v>
      </c>
      <c r="S54" s="42" t="s">
        <v>2</v>
      </c>
      <c r="T54" s="42" t="s">
        <v>2</v>
      </c>
      <c r="U54" s="41" t="s">
        <v>1</v>
      </c>
      <c r="V54" s="41" t="s">
        <v>1</v>
      </c>
      <c r="W54" s="41" t="s">
        <v>1</v>
      </c>
      <c r="X54" s="43" t="s">
        <v>0</v>
      </c>
      <c r="Y54" s="43" t="s">
        <v>0</v>
      </c>
      <c r="Z54" s="43" t="s">
        <v>0</v>
      </c>
      <c r="AA54" s="42" t="s">
        <v>2</v>
      </c>
      <c r="AB54" s="42" t="s">
        <v>2</v>
      </c>
      <c r="AC54" s="42" t="s">
        <v>2</v>
      </c>
      <c r="AD54" s="41" t="s">
        <v>1</v>
      </c>
      <c r="AE54" s="41" t="s">
        <v>1</v>
      </c>
      <c r="AF54" s="41" t="s">
        <v>1</v>
      </c>
      <c r="AG54" s="53" t="s">
        <v>0</v>
      </c>
      <c r="AH54" s="112"/>
      <c r="AI54" s="76">
        <f t="shared" si="10"/>
        <v>3</v>
      </c>
      <c r="AJ54" s="9">
        <f t="shared" si="11"/>
        <v>47</v>
      </c>
    </row>
    <row r="55" spans="1:36" x14ac:dyDescent="0.25">
      <c r="A55" s="40" t="s">
        <v>11</v>
      </c>
      <c r="B55" s="39">
        <f t="shared" si="9"/>
        <v>43</v>
      </c>
      <c r="C55" s="298"/>
      <c r="D55" s="50" t="s">
        <v>2</v>
      </c>
      <c r="E55" s="35" t="s">
        <v>2</v>
      </c>
      <c r="F55" s="37" t="s">
        <v>1</v>
      </c>
      <c r="G55" s="37" t="s">
        <v>31</v>
      </c>
      <c r="H55" s="37" t="s">
        <v>31</v>
      </c>
      <c r="I55" s="37" t="s">
        <v>31</v>
      </c>
      <c r="J55" s="37" t="s">
        <v>31</v>
      </c>
      <c r="K55" s="37" t="s">
        <v>31</v>
      </c>
      <c r="L55" s="37" t="s">
        <v>31</v>
      </c>
      <c r="M55" s="37" t="s">
        <v>31</v>
      </c>
      <c r="N55" s="37" t="s">
        <v>31</v>
      </c>
      <c r="O55" s="37" t="s">
        <v>31</v>
      </c>
      <c r="P55" s="37" t="s">
        <v>31</v>
      </c>
      <c r="Q55" s="37" t="s">
        <v>31</v>
      </c>
      <c r="R55" s="13" t="s">
        <v>0</v>
      </c>
      <c r="S55" s="13" t="s">
        <v>0</v>
      </c>
      <c r="T55" s="13" t="s">
        <v>0</v>
      </c>
      <c r="U55" s="35" t="s">
        <v>2</v>
      </c>
      <c r="V55" s="35" t="s">
        <v>2</v>
      </c>
      <c r="W55" s="35" t="s">
        <v>2</v>
      </c>
      <c r="X55" s="37" t="s">
        <v>1</v>
      </c>
      <c r="Y55" s="37" t="s">
        <v>1</v>
      </c>
      <c r="Z55" s="37" t="s">
        <v>1</v>
      </c>
      <c r="AA55" s="36" t="s">
        <v>0</v>
      </c>
      <c r="AB55" s="36" t="s">
        <v>0</v>
      </c>
      <c r="AC55" s="36" t="s">
        <v>0</v>
      </c>
      <c r="AD55" s="35" t="s">
        <v>2</v>
      </c>
      <c r="AE55" s="35" t="s">
        <v>2</v>
      </c>
      <c r="AF55" s="35" t="s">
        <v>2</v>
      </c>
      <c r="AG55" s="125" t="s">
        <v>1</v>
      </c>
      <c r="AH55" s="112"/>
      <c r="AI55" s="76">
        <f t="shared" si="10"/>
        <v>11</v>
      </c>
      <c r="AJ55" s="9">
        <f t="shared" si="11"/>
        <v>32</v>
      </c>
    </row>
    <row r="56" spans="1:36" ht="15.75" thickBot="1" x14ac:dyDescent="0.3">
      <c r="A56" s="33" t="s">
        <v>10</v>
      </c>
      <c r="B56" s="32">
        <f t="shared" si="9"/>
        <v>34</v>
      </c>
      <c r="C56" s="298"/>
      <c r="D56" s="110" t="s">
        <v>0</v>
      </c>
      <c r="E56" s="28" t="s">
        <v>0</v>
      </c>
      <c r="F56" s="30" t="s">
        <v>2</v>
      </c>
      <c r="G56" s="30" t="s">
        <v>2</v>
      </c>
      <c r="H56" s="30" t="s">
        <v>2</v>
      </c>
      <c r="I56" s="29" t="s">
        <v>1</v>
      </c>
      <c r="J56" s="29" t="s">
        <v>1</v>
      </c>
      <c r="K56" s="29" t="s">
        <v>1</v>
      </c>
      <c r="L56" s="28" t="s">
        <v>0</v>
      </c>
      <c r="M56" s="28" t="s">
        <v>0</v>
      </c>
      <c r="N56" s="28" t="s">
        <v>0</v>
      </c>
      <c r="O56" s="30" t="s">
        <v>2</v>
      </c>
      <c r="P56" s="30" t="s">
        <v>2</v>
      </c>
      <c r="Q56" s="30" t="s">
        <v>2</v>
      </c>
      <c r="R56" s="29" t="s">
        <v>1</v>
      </c>
      <c r="S56" s="29" t="s">
        <v>1</v>
      </c>
      <c r="T56" s="29" t="s">
        <v>31</v>
      </c>
      <c r="U56" s="28" t="s">
        <v>0</v>
      </c>
      <c r="V56" s="28" t="s">
        <v>0</v>
      </c>
      <c r="W56" s="28" t="s">
        <v>0</v>
      </c>
      <c r="X56" s="30" t="s">
        <v>2</v>
      </c>
      <c r="Y56" s="30" t="s">
        <v>2</v>
      </c>
      <c r="Z56" s="30" t="s">
        <v>2</v>
      </c>
      <c r="AA56" s="29" t="s">
        <v>1</v>
      </c>
      <c r="AB56" s="29" t="s">
        <v>1</v>
      </c>
      <c r="AC56" s="29" t="s">
        <v>1</v>
      </c>
      <c r="AD56" s="28" t="s">
        <v>0</v>
      </c>
      <c r="AE56" s="28" t="s">
        <v>0</v>
      </c>
      <c r="AF56" s="28" t="s">
        <v>0</v>
      </c>
      <c r="AG56" s="124" t="s">
        <v>2</v>
      </c>
      <c r="AH56" s="112"/>
      <c r="AI56" s="76">
        <f t="shared" si="10"/>
        <v>1</v>
      </c>
      <c r="AJ56" s="9">
        <f t="shared" si="11"/>
        <v>33</v>
      </c>
    </row>
    <row r="57" spans="1:36" x14ac:dyDescent="0.25">
      <c r="A57" s="26" t="s">
        <v>9</v>
      </c>
      <c r="B57" s="25">
        <f t="shared" si="9"/>
        <v>49</v>
      </c>
      <c r="C57" s="298"/>
      <c r="D57" s="80" t="s">
        <v>2</v>
      </c>
      <c r="E57" s="23" t="s">
        <v>2</v>
      </c>
      <c r="F57" s="23" t="s">
        <v>2</v>
      </c>
      <c r="G57" s="23" t="s">
        <v>2</v>
      </c>
      <c r="H57" s="22" t="s">
        <v>0</v>
      </c>
      <c r="I57" s="22" t="s">
        <v>0</v>
      </c>
      <c r="J57" s="22" t="s">
        <v>0</v>
      </c>
      <c r="K57" s="23" t="s">
        <v>2</v>
      </c>
      <c r="L57" s="23" t="s">
        <v>2</v>
      </c>
      <c r="M57" s="23" t="s">
        <v>2</v>
      </c>
      <c r="N57" s="23" t="s">
        <v>31</v>
      </c>
      <c r="O57" s="23" t="s">
        <v>31</v>
      </c>
      <c r="P57" s="23" t="s">
        <v>31</v>
      </c>
      <c r="Q57" s="22" t="s">
        <v>0</v>
      </c>
      <c r="R57" s="22" t="s">
        <v>0</v>
      </c>
      <c r="S57" s="22" t="s">
        <v>0</v>
      </c>
      <c r="T57" s="23" t="s">
        <v>2</v>
      </c>
      <c r="U57" s="23" t="s">
        <v>2</v>
      </c>
      <c r="V57" s="23" t="s">
        <v>2</v>
      </c>
      <c r="W57" s="23" t="s">
        <v>2</v>
      </c>
      <c r="X57" s="23" t="s">
        <v>2</v>
      </c>
      <c r="Y57" s="23" t="s">
        <v>2</v>
      </c>
      <c r="Z57" s="22" t="s">
        <v>0</v>
      </c>
      <c r="AA57" s="22" t="s">
        <v>0</v>
      </c>
      <c r="AB57" s="22" t="s">
        <v>0</v>
      </c>
      <c r="AC57" s="23" t="s">
        <v>2</v>
      </c>
      <c r="AD57" s="23" t="s">
        <v>2</v>
      </c>
      <c r="AE57" s="23" t="s">
        <v>2</v>
      </c>
      <c r="AF57" s="23" t="s">
        <v>2</v>
      </c>
      <c r="AG57" s="21" t="s">
        <v>2</v>
      </c>
      <c r="AH57" s="112"/>
      <c r="AI57" s="76">
        <f t="shared" si="10"/>
        <v>3</v>
      </c>
      <c r="AJ57" s="9">
        <f t="shared" si="11"/>
        <v>46</v>
      </c>
    </row>
    <row r="58" spans="1:36" x14ac:dyDescent="0.25">
      <c r="A58" s="16" t="s">
        <v>7</v>
      </c>
      <c r="B58" s="15">
        <f t="shared" si="9"/>
        <v>42</v>
      </c>
      <c r="C58" s="298"/>
      <c r="D58" s="18" t="s">
        <v>2</v>
      </c>
      <c r="E58" s="17" t="s">
        <v>2</v>
      </c>
      <c r="F58" s="17" t="s">
        <v>2</v>
      </c>
      <c r="G58" s="17" t="s">
        <v>2</v>
      </c>
      <c r="H58" s="13" t="s">
        <v>0</v>
      </c>
      <c r="I58" s="13" t="s">
        <v>0</v>
      </c>
      <c r="J58" s="13" t="s">
        <v>2</v>
      </c>
      <c r="K58" s="13" t="s">
        <v>2</v>
      </c>
      <c r="L58" s="13" t="s">
        <v>2</v>
      </c>
      <c r="M58" s="13" t="s">
        <v>2</v>
      </c>
      <c r="N58" s="13" t="s">
        <v>2</v>
      </c>
      <c r="O58" s="13" t="s">
        <v>0</v>
      </c>
      <c r="P58" s="13" t="s">
        <v>0</v>
      </c>
      <c r="Q58" s="13" t="s">
        <v>2</v>
      </c>
      <c r="R58" s="13" t="s">
        <v>2</v>
      </c>
      <c r="S58" s="13" t="s">
        <v>2</v>
      </c>
      <c r="T58" s="13" t="s">
        <v>2</v>
      </c>
      <c r="U58" s="13" t="s">
        <v>2</v>
      </c>
      <c r="V58" s="13" t="s">
        <v>0</v>
      </c>
      <c r="W58" s="13" t="s">
        <v>0</v>
      </c>
      <c r="X58" s="13" t="s">
        <v>2</v>
      </c>
      <c r="Y58" s="13" t="s">
        <v>2</v>
      </c>
      <c r="Z58" s="13" t="s">
        <v>2</v>
      </c>
      <c r="AA58" s="13" t="s">
        <v>2</v>
      </c>
      <c r="AB58" s="13" t="s">
        <v>2</v>
      </c>
      <c r="AC58" s="13" t="s">
        <v>0</v>
      </c>
      <c r="AD58" s="13" t="s">
        <v>0</v>
      </c>
      <c r="AE58" s="13" t="s">
        <v>2</v>
      </c>
      <c r="AF58" s="13" t="s">
        <v>2</v>
      </c>
      <c r="AG58" s="11" t="s">
        <v>2</v>
      </c>
      <c r="AH58" s="112"/>
      <c r="AI58" s="76">
        <f t="shared" ref="AI58" si="12">COUNTIF(D58:AG58,"V")</f>
        <v>0</v>
      </c>
      <c r="AJ58" s="9">
        <f t="shared" ref="AJ58" si="13">B58-AI58</f>
        <v>42</v>
      </c>
    </row>
    <row r="59" spans="1:36" x14ac:dyDescent="0.25">
      <c r="A59" s="16" t="s">
        <v>8</v>
      </c>
      <c r="B59" s="15">
        <f t="shared" si="9"/>
        <v>48</v>
      </c>
      <c r="C59" s="298"/>
      <c r="D59" s="14" t="s">
        <v>1</v>
      </c>
      <c r="E59" s="13" t="s">
        <v>1</v>
      </c>
      <c r="F59" s="13" t="s">
        <v>0</v>
      </c>
      <c r="G59" s="13" t="s">
        <v>0</v>
      </c>
      <c r="H59" s="13" t="s">
        <v>0</v>
      </c>
      <c r="I59" s="12" t="s">
        <v>2</v>
      </c>
      <c r="J59" s="12" t="s">
        <v>2</v>
      </c>
      <c r="K59" s="12" t="s">
        <v>2</v>
      </c>
      <c r="L59" s="12" t="s">
        <v>2</v>
      </c>
      <c r="M59" s="12" t="s">
        <v>2</v>
      </c>
      <c r="N59" s="12" t="s">
        <v>2</v>
      </c>
      <c r="O59" s="12" t="s">
        <v>0</v>
      </c>
      <c r="P59" s="12" t="s">
        <v>0</v>
      </c>
      <c r="Q59" s="12" t="s">
        <v>0</v>
      </c>
      <c r="R59" s="13" t="s">
        <v>1</v>
      </c>
      <c r="S59" s="13" t="s">
        <v>1</v>
      </c>
      <c r="T59" s="13" t="s">
        <v>1</v>
      </c>
      <c r="U59" s="13" t="s">
        <v>1</v>
      </c>
      <c r="V59" s="13" t="s">
        <v>1</v>
      </c>
      <c r="W59" s="13" t="s">
        <v>1</v>
      </c>
      <c r="X59" s="12" t="s">
        <v>0</v>
      </c>
      <c r="Y59" s="12" t="s">
        <v>0</v>
      </c>
      <c r="Z59" s="12" t="s">
        <v>0</v>
      </c>
      <c r="AA59" s="12" t="s">
        <v>31</v>
      </c>
      <c r="AB59" s="12" t="s">
        <v>31</v>
      </c>
      <c r="AC59" s="12" t="s">
        <v>31</v>
      </c>
      <c r="AD59" s="12" t="s">
        <v>31</v>
      </c>
      <c r="AE59" s="13" t="s">
        <v>2</v>
      </c>
      <c r="AF59" s="13" t="s">
        <v>2</v>
      </c>
      <c r="AG59" s="11" t="s">
        <v>0</v>
      </c>
      <c r="AH59" s="112"/>
      <c r="AI59" s="76">
        <f t="shared" si="10"/>
        <v>4</v>
      </c>
      <c r="AJ59" s="9">
        <f t="shared" si="11"/>
        <v>44</v>
      </c>
    </row>
    <row r="60" spans="1:36" x14ac:dyDescent="0.25">
      <c r="A60" s="16" t="s">
        <v>33</v>
      </c>
      <c r="B60" s="15">
        <f t="shared" si="9"/>
        <v>44</v>
      </c>
      <c r="C60" s="298"/>
      <c r="D60" s="18" t="s">
        <v>2</v>
      </c>
      <c r="E60" s="17" t="s">
        <v>2</v>
      </c>
      <c r="F60" s="13" t="s">
        <v>0</v>
      </c>
      <c r="G60" s="13" t="s">
        <v>0</v>
      </c>
      <c r="H60" s="13" t="s">
        <v>0</v>
      </c>
      <c r="I60" s="13" t="s">
        <v>1</v>
      </c>
      <c r="J60" s="13" t="s">
        <v>1</v>
      </c>
      <c r="K60" s="13" t="s">
        <v>1</v>
      </c>
      <c r="L60" s="13" t="s">
        <v>1</v>
      </c>
      <c r="M60" s="13" t="s">
        <v>1</v>
      </c>
      <c r="N60" s="13" t="s">
        <v>1</v>
      </c>
      <c r="O60" s="12" t="s">
        <v>0</v>
      </c>
      <c r="P60" s="12" t="s">
        <v>0</v>
      </c>
      <c r="Q60" s="12" t="s">
        <v>0</v>
      </c>
      <c r="R60" s="13" t="s">
        <v>2</v>
      </c>
      <c r="S60" s="13" t="s">
        <v>2</v>
      </c>
      <c r="T60" s="13" t="s">
        <v>2</v>
      </c>
      <c r="U60" s="13" t="s">
        <v>2</v>
      </c>
      <c r="V60" s="13" t="s">
        <v>2</v>
      </c>
      <c r="W60" s="13" t="s">
        <v>2</v>
      </c>
      <c r="X60" s="12" t="s">
        <v>0</v>
      </c>
      <c r="Y60" s="12" t="s">
        <v>0</v>
      </c>
      <c r="Z60" s="12" t="s">
        <v>0</v>
      </c>
      <c r="AA60" s="13" t="s">
        <v>1</v>
      </c>
      <c r="AB60" s="13" t="s">
        <v>1</v>
      </c>
      <c r="AC60" s="13" t="s">
        <v>1</v>
      </c>
      <c r="AD60" s="13" t="s">
        <v>1</v>
      </c>
      <c r="AE60" s="13" t="s">
        <v>31</v>
      </c>
      <c r="AF60" s="13" t="s">
        <v>31</v>
      </c>
      <c r="AG60" s="11" t="s">
        <v>0</v>
      </c>
      <c r="AH60" s="112"/>
      <c r="AI60" s="76">
        <f t="shared" si="10"/>
        <v>2</v>
      </c>
      <c r="AJ60" s="9">
        <f t="shared" si="11"/>
        <v>42</v>
      </c>
    </row>
    <row r="61" spans="1:36" x14ac:dyDescent="0.25">
      <c r="A61" s="16" t="s">
        <v>6</v>
      </c>
      <c r="B61" s="15">
        <f t="shared" si="9"/>
        <v>50</v>
      </c>
      <c r="C61" s="298"/>
      <c r="D61" s="18" t="s">
        <v>1</v>
      </c>
      <c r="E61" s="17" t="s">
        <v>1</v>
      </c>
      <c r="F61" s="17" t="s">
        <v>1</v>
      </c>
      <c r="G61" s="17" t="s">
        <v>1</v>
      </c>
      <c r="H61" s="17" t="s">
        <v>1</v>
      </c>
      <c r="I61" s="13" t="s">
        <v>0</v>
      </c>
      <c r="J61" s="13" t="s">
        <v>0</v>
      </c>
      <c r="K61" s="13" t="s">
        <v>0</v>
      </c>
      <c r="L61" s="17" t="s">
        <v>2</v>
      </c>
      <c r="M61" s="17" t="s">
        <v>2</v>
      </c>
      <c r="N61" s="17" t="s">
        <v>2</v>
      </c>
      <c r="O61" s="17" t="s">
        <v>2</v>
      </c>
      <c r="P61" s="17" t="s">
        <v>2</v>
      </c>
      <c r="Q61" s="17" t="s">
        <v>2</v>
      </c>
      <c r="R61" s="17" t="s">
        <v>0</v>
      </c>
      <c r="S61" s="17" t="s">
        <v>0</v>
      </c>
      <c r="T61" s="17" t="s">
        <v>0</v>
      </c>
      <c r="U61" s="13" t="s">
        <v>1</v>
      </c>
      <c r="V61" s="13" t="s">
        <v>1</v>
      </c>
      <c r="W61" s="13" t="s">
        <v>1</v>
      </c>
      <c r="X61" s="13" t="s">
        <v>1</v>
      </c>
      <c r="Y61" s="13" t="s">
        <v>1</v>
      </c>
      <c r="Z61" s="13" t="s">
        <v>1</v>
      </c>
      <c r="AA61" s="13" t="s">
        <v>0</v>
      </c>
      <c r="AB61" s="13" t="s">
        <v>0</v>
      </c>
      <c r="AC61" s="13" t="s">
        <v>0</v>
      </c>
      <c r="AD61" s="17" t="s">
        <v>31</v>
      </c>
      <c r="AE61" s="17" t="s">
        <v>2</v>
      </c>
      <c r="AF61" s="17" t="s">
        <v>2</v>
      </c>
      <c r="AG61" s="20" t="s">
        <v>2</v>
      </c>
      <c r="AH61" s="112"/>
      <c r="AI61" s="76">
        <f t="shared" si="10"/>
        <v>1</v>
      </c>
      <c r="AJ61" s="9">
        <f t="shared" si="11"/>
        <v>49</v>
      </c>
    </row>
    <row r="62" spans="1:36" x14ac:dyDescent="0.25">
      <c r="A62" s="16" t="s">
        <v>5</v>
      </c>
      <c r="B62" s="15">
        <f t="shared" si="9"/>
        <v>49</v>
      </c>
      <c r="C62" s="298"/>
      <c r="D62" s="14" t="s">
        <v>2</v>
      </c>
      <c r="E62" s="12" t="s">
        <v>2</v>
      </c>
      <c r="F62" s="12" t="s">
        <v>2</v>
      </c>
      <c r="G62" s="12" t="s">
        <v>2</v>
      </c>
      <c r="H62" s="12" t="s">
        <v>2</v>
      </c>
      <c r="I62" s="13" t="s">
        <v>0</v>
      </c>
      <c r="J62" s="13" t="s">
        <v>0</v>
      </c>
      <c r="K62" s="13" t="s">
        <v>0</v>
      </c>
      <c r="L62" s="13" t="s">
        <v>1</v>
      </c>
      <c r="M62" s="13" t="s">
        <v>1</v>
      </c>
      <c r="N62" s="13" t="s">
        <v>1</v>
      </c>
      <c r="O62" s="13" t="s">
        <v>1</v>
      </c>
      <c r="P62" s="13" t="s">
        <v>1</v>
      </c>
      <c r="Q62" s="13" t="s">
        <v>1</v>
      </c>
      <c r="R62" s="17" t="s">
        <v>0</v>
      </c>
      <c r="S62" s="17" t="s">
        <v>0</v>
      </c>
      <c r="T62" s="17" t="s">
        <v>0</v>
      </c>
      <c r="U62" s="12" t="s">
        <v>2</v>
      </c>
      <c r="V62" s="12" t="s">
        <v>2</v>
      </c>
      <c r="W62" s="12" t="s">
        <v>2</v>
      </c>
      <c r="X62" s="12" t="s">
        <v>2</v>
      </c>
      <c r="Y62" s="12" t="s">
        <v>2</v>
      </c>
      <c r="Z62" s="12" t="s">
        <v>2</v>
      </c>
      <c r="AA62" s="13" t="s">
        <v>0</v>
      </c>
      <c r="AB62" s="13" t="s">
        <v>0</v>
      </c>
      <c r="AC62" s="13" t="s">
        <v>0</v>
      </c>
      <c r="AD62" s="13" t="s">
        <v>1</v>
      </c>
      <c r="AE62" s="13" t="s">
        <v>1</v>
      </c>
      <c r="AF62" s="13" t="s">
        <v>1</v>
      </c>
      <c r="AG62" s="19" t="s">
        <v>1</v>
      </c>
      <c r="AH62" s="112"/>
      <c r="AI62" s="76">
        <f t="shared" si="10"/>
        <v>0</v>
      </c>
      <c r="AJ62" s="9">
        <f t="shared" si="11"/>
        <v>49</v>
      </c>
    </row>
    <row r="63" spans="1:36" x14ac:dyDescent="0.25">
      <c r="A63" s="16" t="s">
        <v>4</v>
      </c>
      <c r="B63" s="15">
        <f t="shared" si="9"/>
        <v>47</v>
      </c>
      <c r="C63" s="298"/>
      <c r="D63" s="14" t="s">
        <v>0</v>
      </c>
      <c r="E63" s="13" t="s">
        <v>0</v>
      </c>
      <c r="F63" s="12" t="s">
        <v>31</v>
      </c>
      <c r="G63" s="12" t="s">
        <v>31</v>
      </c>
      <c r="H63" s="12" t="s">
        <v>31</v>
      </c>
      <c r="I63" s="12" t="s">
        <v>31</v>
      </c>
      <c r="J63" s="12" t="s">
        <v>31</v>
      </c>
      <c r="K63" s="12" t="s">
        <v>31</v>
      </c>
      <c r="L63" s="12" t="s">
        <v>31</v>
      </c>
      <c r="M63" s="12" t="s">
        <v>31</v>
      </c>
      <c r="N63" s="12" t="s">
        <v>31</v>
      </c>
      <c r="O63" s="12" t="s">
        <v>31</v>
      </c>
      <c r="P63" s="12" t="s">
        <v>31</v>
      </c>
      <c r="Q63" s="12" t="s">
        <v>31</v>
      </c>
      <c r="R63" s="12" t="s">
        <v>31</v>
      </c>
      <c r="S63" s="12" t="s">
        <v>31</v>
      </c>
      <c r="T63" s="13" t="s">
        <v>1</v>
      </c>
      <c r="U63" s="12" t="s">
        <v>0</v>
      </c>
      <c r="V63" s="12" t="s">
        <v>0</v>
      </c>
      <c r="W63" s="12" t="s">
        <v>0</v>
      </c>
      <c r="X63" s="12" t="s">
        <v>2</v>
      </c>
      <c r="Y63" s="12" t="s">
        <v>2</v>
      </c>
      <c r="Z63" s="12" t="s">
        <v>2</v>
      </c>
      <c r="AA63" s="12" t="s">
        <v>2</v>
      </c>
      <c r="AB63" s="12" t="s">
        <v>2</v>
      </c>
      <c r="AC63" s="12" t="s">
        <v>2</v>
      </c>
      <c r="AD63" s="12" t="s">
        <v>0</v>
      </c>
      <c r="AE63" s="12" t="s">
        <v>0</v>
      </c>
      <c r="AF63" s="12" t="s">
        <v>0</v>
      </c>
      <c r="AG63" s="19" t="s">
        <v>1</v>
      </c>
      <c r="AH63" s="112"/>
      <c r="AI63" s="76">
        <f t="shared" si="10"/>
        <v>14</v>
      </c>
      <c r="AJ63" s="9">
        <f t="shared" si="11"/>
        <v>33</v>
      </c>
    </row>
    <row r="64" spans="1:36" ht="15.75" thickBot="1" x14ac:dyDescent="0.3">
      <c r="A64" s="8" t="s">
        <v>3</v>
      </c>
      <c r="B64" s="7">
        <f t="shared" si="9"/>
        <v>42</v>
      </c>
      <c r="C64" s="299"/>
      <c r="D64" s="6" t="s">
        <v>0</v>
      </c>
      <c r="E64" s="5" t="s">
        <v>0</v>
      </c>
      <c r="F64" s="5" t="s">
        <v>1</v>
      </c>
      <c r="G64" s="5" t="s">
        <v>1</v>
      </c>
      <c r="H64" s="5" t="s">
        <v>1</v>
      </c>
      <c r="I64" s="5" t="s">
        <v>1</v>
      </c>
      <c r="J64" s="5" t="s">
        <v>1</v>
      </c>
      <c r="K64" s="5" t="s">
        <v>1</v>
      </c>
      <c r="L64" s="5" t="s">
        <v>0</v>
      </c>
      <c r="M64" s="5" t="s">
        <v>0</v>
      </c>
      <c r="N64" s="5" t="s">
        <v>0</v>
      </c>
      <c r="O64" s="4" t="s">
        <v>2</v>
      </c>
      <c r="P64" s="4" t="s">
        <v>2</v>
      </c>
      <c r="Q64" s="4" t="s">
        <v>2</v>
      </c>
      <c r="R64" s="4" t="s">
        <v>2</v>
      </c>
      <c r="S64" s="4" t="s">
        <v>2</v>
      </c>
      <c r="T64" s="4" t="s">
        <v>31</v>
      </c>
      <c r="U64" s="5" t="s">
        <v>0</v>
      </c>
      <c r="V64" s="5" t="s">
        <v>0</v>
      </c>
      <c r="W64" s="5" t="s">
        <v>0</v>
      </c>
      <c r="X64" s="5" t="s">
        <v>1</v>
      </c>
      <c r="Y64" s="5" t="s">
        <v>1</v>
      </c>
      <c r="Z64" s="5" t="s">
        <v>1</v>
      </c>
      <c r="AA64" s="5" t="s">
        <v>1</v>
      </c>
      <c r="AB64" s="5" t="s">
        <v>1</v>
      </c>
      <c r="AC64" s="5" t="s">
        <v>1</v>
      </c>
      <c r="AD64" s="5" t="s">
        <v>0</v>
      </c>
      <c r="AE64" s="5" t="s">
        <v>0</v>
      </c>
      <c r="AF64" s="5" t="s">
        <v>0</v>
      </c>
      <c r="AG64" s="4" t="s">
        <v>2</v>
      </c>
      <c r="AH64" s="111"/>
      <c r="AI64" s="73">
        <f t="shared" si="10"/>
        <v>1</v>
      </c>
      <c r="AJ64" s="1">
        <f t="shared" si="11"/>
        <v>41</v>
      </c>
    </row>
    <row r="65" spans="1:36" ht="21.75" thickBot="1" x14ac:dyDescent="0.3">
      <c r="A65" s="91"/>
      <c r="B65" s="91"/>
      <c r="C65" s="93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1"/>
      <c r="AJ65" s="91"/>
    </row>
    <row r="66" spans="1:36" ht="15" customHeight="1" x14ac:dyDescent="0.25">
      <c r="A66" s="240" t="s">
        <v>30</v>
      </c>
      <c r="B66" s="242" t="s">
        <v>29</v>
      </c>
      <c r="C66" s="294">
        <v>45839</v>
      </c>
      <c r="D66" s="90" t="s">
        <v>24</v>
      </c>
      <c r="E66" s="71" t="s">
        <v>23</v>
      </c>
      <c r="F66" s="71" t="s">
        <v>22</v>
      </c>
      <c r="G66" s="71" t="s">
        <v>28</v>
      </c>
      <c r="H66" s="71" t="s">
        <v>27</v>
      </c>
      <c r="I66" s="71" t="s">
        <v>26</v>
      </c>
      <c r="J66" s="71" t="s">
        <v>25</v>
      </c>
      <c r="K66" s="71" t="s">
        <v>24</v>
      </c>
      <c r="L66" s="71" t="s">
        <v>23</v>
      </c>
      <c r="M66" s="71" t="s">
        <v>22</v>
      </c>
      <c r="N66" s="71" t="s">
        <v>28</v>
      </c>
      <c r="O66" s="71" t="s">
        <v>27</v>
      </c>
      <c r="P66" s="71" t="s">
        <v>26</v>
      </c>
      <c r="Q66" s="71" t="s">
        <v>25</v>
      </c>
      <c r="R66" s="71" t="s">
        <v>24</v>
      </c>
      <c r="S66" s="71" t="s">
        <v>23</v>
      </c>
      <c r="T66" s="71" t="s">
        <v>22</v>
      </c>
      <c r="U66" s="71" t="s">
        <v>28</v>
      </c>
      <c r="V66" s="71" t="s">
        <v>27</v>
      </c>
      <c r="W66" s="71" t="s">
        <v>26</v>
      </c>
      <c r="X66" s="71" t="s">
        <v>25</v>
      </c>
      <c r="Y66" s="71" t="s">
        <v>24</v>
      </c>
      <c r="Z66" s="71" t="s">
        <v>23</v>
      </c>
      <c r="AA66" s="71" t="s">
        <v>22</v>
      </c>
      <c r="AB66" s="71" t="s">
        <v>28</v>
      </c>
      <c r="AC66" s="71" t="s">
        <v>27</v>
      </c>
      <c r="AD66" s="71" t="s">
        <v>26</v>
      </c>
      <c r="AE66" s="71" t="s">
        <v>25</v>
      </c>
      <c r="AF66" s="71" t="s">
        <v>24</v>
      </c>
      <c r="AG66" s="71" t="s">
        <v>23</v>
      </c>
      <c r="AH66" s="69" t="s">
        <v>22</v>
      </c>
      <c r="AI66" s="248" t="s">
        <v>21</v>
      </c>
      <c r="AJ66" s="250" t="s">
        <v>20</v>
      </c>
    </row>
    <row r="67" spans="1:36" ht="15.75" thickBot="1" x14ac:dyDescent="0.3">
      <c r="A67" s="241"/>
      <c r="B67" s="243"/>
      <c r="C67" s="295"/>
      <c r="D67" s="89">
        <v>1</v>
      </c>
      <c r="E67" s="67">
        <v>2</v>
      </c>
      <c r="F67" s="67">
        <v>3</v>
      </c>
      <c r="G67" s="67">
        <v>4</v>
      </c>
      <c r="H67" s="67">
        <v>5</v>
      </c>
      <c r="I67" s="67">
        <v>6</v>
      </c>
      <c r="J67" s="67">
        <v>7</v>
      </c>
      <c r="K67" s="67">
        <v>8</v>
      </c>
      <c r="L67" s="67">
        <v>9</v>
      </c>
      <c r="M67" s="67">
        <v>10</v>
      </c>
      <c r="N67" s="67">
        <v>11</v>
      </c>
      <c r="O67" s="67">
        <v>12</v>
      </c>
      <c r="P67" s="67">
        <v>13</v>
      </c>
      <c r="Q67" s="67">
        <v>14</v>
      </c>
      <c r="R67" s="67">
        <v>15</v>
      </c>
      <c r="S67" s="67">
        <v>16</v>
      </c>
      <c r="T67" s="67">
        <v>17</v>
      </c>
      <c r="U67" s="67">
        <v>18</v>
      </c>
      <c r="V67" s="67">
        <v>19</v>
      </c>
      <c r="W67" s="67">
        <v>20</v>
      </c>
      <c r="X67" s="67">
        <v>21</v>
      </c>
      <c r="Y67" s="67">
        <v>22</v>
      </c>
      <c r="Z67" s="67">
        <v>23</v>
      </c>
      <c r="AA67" s="67">
        <v>24</v>
      </c>
      <c r="AB67" s="67">
        <v>25</v>
      </c>
      <c r="AC67" s="67">
        <v>26</v>
      </c>
      <c r="AD67" s="67">
        <v>27</v>
      </c>
      <c r="AE67" s="67">
        <v>28</v>
      </c>
      <c r="AF67" s="67">
        <v>29</v>
      </c>
      <c r="AG67" s="67">
        <v>30</v>
      </c>
      <c r="AH67" s="65">
        <v>31</v>
      </c>
      <c r="AI67" s="249"/>
      <c r="AJ67" s="251"/>
    </row>
    <row r="68" spans="1:36" x14ac:dyDescent="0.25">
      <c r="A68" s="64" t="s">
        <v>19</v>
      </c>
      <c r="B68" s="63">
        <f t="shared" ref="B68" si="14">AJ47</f>
        <v>31</v>
      </c>
      <c r="C68" s="295"/>
      <c r="D68" s="44" t="s">
        <v>2</v>
      </c>
      <c r="E68" s="42" t="s">
        <v>31</v>
      </c>
      <c r="F68" s="42" t="s">
        <v>2</v>
      </c>
      <c r="G68" s="42" t="s">
        <v>2</v>
      </c>
      <c r="H68" s="43" t="s">
        <v>0</v>
      </c>
      <c r="I68" s="43" t="s">
        <v>0</v>
      </c>
      <c r="J68" s="42" t="s">
        <v>2</v>
      </c>
      <c r="K68" s="42" t="s">
        <v>2</v>
      </c>
      <c r="L68" s="42" t="s">
        <v>2</v>
      </c>
      <c r="M68" s="42" t="s">
        <v>2</v>
      </c>
      <c r="N68" s="42" t="s">
        <v>2</v>
      </c>
      <c r="O68" s="43" t="s">
        <v>0</v>
      </c>
      <c r="P68" s="43" t="s">
        <v>0</v>
      </c>
      <c r="Q68" s="42" t="s">
        <v>2</v>
      </c>
      <c r="R68" s="42" t="s">
        <v>2</v>
      </c>
      <c r="S68" s="42" t="s">
        <v>2</v>
      </c>
      <c r="T68" s="42" t="s">
        <v>2</v>
      </c>
      <c r="U68" s="42" t="s">
        <v>2</v>
      </c>
      <c r="V68" s="43" t="s">
        <v>0</v>
      </c>
      <c r="W68" s="43" t="s">
        <v>0</v>
      </c>
      <c r="X68" s="42" t="s">
        <v>31</v>
      </c>
      <c r="Y68" s="42" t="s">
        <v>31</v>
      </c>
      <c r="Z68" s="42" t="s">
        <v>31</v>
      </c>
      <c r="AA68" s="42" t="s">
        <v>31</v>
      </c>
      <c r="AB68" s="42" t="s">
        <v>31</v>
      </c>
      <c r="AC68" s="42" t="s">
        <v>31</v>
      </c>
      <c r="AD68" s="42" t="s">
        <v>31</v>
      </c>
      <c r="AE68" s="42" t="s">
        <v>31</v>
      </c>
      <c r="AF68" s="42" t="s">
        <v>31</v>
      </c>
      <c r="AG68" s="42" t="s">
        <v>31</v>
      </c>
      <c r="AH68" s="84" t="s">
        <v>31</v>
      </c>
      <c r="AI68" s="61">
        <f t="shared" ref="AI68:AI87" si="15">COUNTIF(D68:AH68,"V")</f>
        <v>12</v>
      </c>
      <c r="AJ68" s="60">
        <f t="shared" ref="AJ68:AJ87" si="16">B68-AI68</f>
        <v>19</v>
      </c>
    </row>
    <row r="69" spans="1:36" ht="15.75" thickBot="1" x14ac:dyDescent="0.3">
      <c r="A69" s="57" t="s">
        <v>16</v>
      </c>
      <c r="B69" s="56">
        <f>AJ50</f>
        <v>18</v>
      </c>
      <c r="C69" s="295"/>
      <c r="D69" s="47" t="s">
        <v>2</v>
      </c>
      <c r="E69" s="30" t="s">
        <v>2</v>
      </c>
      <c r="F69" s="28" t="s">
        <v>0</v>
      </c>
      <c r="G69" s="28" t="s">
        <v>0</v>
      </c>
      <c r="H69" s="30" t="s">
        <v>2</v>
      </c>
      <c r="I69" s="30" t="s">
        <v>2</v>
      </c>
      <c r="J69" s="30" t="s">
        <v>2</v>
      </c>
      <c r="K69" s="30" t="s">
        <v>2</v>
      </c>
      <c r="L69" s="30" t="s">
        <v>2</v>
      </c>
      <c r="M69" s="28" t="s">
        <v>0</v>
      </c>
      <c r="N69" s="28" t="s">
        <v>0</v>
      </c>
      <c r="O69" s="30" t="s">
        <v>2</v>
      </c>
      <c r="P69" s="30" t="s">
        <v>2</v>
      </c>
      <c r="Q69" s="30" t="s">
        <v>2</v>
      </c>
      <c r="R69" s="30" t="s">
        <v>2</v>
      </c>
      <c r="S69" s="30" t="s">
        <v>2</v>
      </c>
      <c r="T69" s="28" t="s">
        <v>0</v>
      </c>
      <c r="U69" s="28" t="s">
        <v>0</v>
      </c>
      <c r="V69" s="30" t="s">
        <v>2</v>
      </c>
      <c r="W69" s="30" t="s">
        <v>2</v>
      </c>
      <c r="X69" s="30" t="s">
        <v>2</v>
      </c>
      <c r="Y69" s="30" t="s">
        <v>2</v>
      </c>
      <c r="Z69" s="30" t="s">
        <v>2</v>
      </c>
      <c r="AA69" s="28" t="s">
        <v>0</v>
      </c>
      <c r="AB69" s="28" t="s">
        <v>0</v>
      </c>
      <c r="AC69" s="30" t="s">
        <v>2</v>
      </c>
      <c r="AD69" s="30" t="s">
        <v>2</v>
      </c>
      <c r="AE69" s="30" t="s">
        <v>2</v>
      </c>
      <c r="AF69" s="30" t="s">
        <v>2</v>
      </c>
      <c r="AG69" s="30" t="s">
        <v>2</v>
      </c>
      <c r="AH69" s="104" t="s">
        <v>0</v>
      </c>
      <c r="AI69" s="10">
        <f t="shared" ref="AI69:AI74" si="17">COUNTIF(D69:AH69,"V")</f>
        <v>0</v>
      </c>
      <c r="AJ69" s="9">
        <f t="shared" ref="AJ69:AJ73" si="18">B69-AI69</f>
        <v>18</v>
      </c>
    </row>
    <row r="70" spans="1:36" x14ac:dyDescent="0.25">
      <c r="A70" s="164" t="s">
        <v>36</v>
      </c>
      <c r="B70" s="165">
        <v>27</v>
      </c>
      <c r="C70" s="295"/>
      <c r="D70" s="119" t="s">
        <v>2</v>
      </c>
      <c r="E70" s="117" t="s">
        <v>2</v>
      </c>
      <c r="F70" s="118" t="s">
        <v>2</v>
      </c>
      <c r="G70" s="118" t="s">
        <v>0</v>
      </c>
      <c r="H70" s="117" t="s">
        <v>0</v>
      </c>
      <c r="I70" s="117" t="s">
        <v>2</v>
      </c>
      <c r="J70" s="117" t="s">
        <v>2</v>
      </c>
      <c r="K70" s="117" t="s">
        <v>2</v>
      </c>
      <c r="L70" s="117" t="s">
        <v>2</v>
      </c>
      <c r="M70" s="117" t="s">
        <v>2</v>
      </c>
      <c r="N70" s="118" t="s">
        <v>0</v>
      </c>
      <c r="O70" s="117" t="s">
        <v>0</v>
      </c>
      <c r="P70" s="117" t="s">
        <v>2</v>
      </c>
      <c r="Q70" s="117" t="s">
        <v>2</v>
      </c>
      <c r="R70" s="117" t="s">
        <v>2</v>
      </c>
      <c r="S70" s="117" t="s">
        <v>2</v>
      </c>
      <c r="T70" s="117" t="s">
        <v>2</v>
      </c>
      <c r="U70" s="118" t="s">
        <v>0</v>
      </c>
      <c r="V70" s="117" t="s">
        <v>0</v>
      </c>
      <c r="W70" s="117" t="s">
        <v>2</v>
      </c>
      <c r="X70" s="117" t="s">
        <v>2</v>
      </c>
      <c r="Y70" s="117" t="s">
        <v>2</v>
      </c>
      <c r="Z70" s="117" t="s">
        <v>2</v>
      </c>
      <c r="AA70" s="117" t="s">
        <v>2</v>
      </c>
      <c r="AB70" s="118" t="s">
        <v>0</v>
      </c>
      <c r="AC70" s="117" t="s">
        <v>0</v>
      </c>
      <c r="AD70" s="117" t="s">
        <v>2</v>
      </c>
      <c r="AE70" s="117" t="s">
        <v>2</v>
      </c>
      <c r="AF70" s="117" t="s">
        <v>2</v>
      </c>
      <c r="AG70" s="117" t="s">
        <v>2</v>
      </c>
      <c r="AH70" s="166" t="s">
        <v>2</v>
      </c>
      <c r="AI70" s="10">
        <f t="shared" si="17"/>
        <v>0</v>
      </c>
      <c r="AJ70" s="9">
        <f t="shared" si="18"/>
        <v>27</v>
      </c>
    </row>
    <row r="71" spans="1:36" x14ac:dyDescent="0.25">
      <c r="A71" s="59" t="s">
        <v>17</v>
      </c>
      <c r="B71" s="58">
        <f>AJ49</f>
        <v>25</v>
      </c>
      <c r="C71" s="295"/>
      <c r="D71" s="50" t="s">
        <v>31</v>
      </c>
      <c r="E71" s="35" t="s">
        <v>31</v>
      </c>
      <c r="F71" s="36" t="s">
        <v>0</v>
      </c>
      <c r="G71" s="36" t="s">
        <v>0</v>
      </c>
      <c r="H71" s="35" t="s">
        <v>31</v>
      </c>
      <c r="I71" s="35" t="s">
        <v>2</v>
      </c>
      <c r="J71" s="35" t="s">
        <v>2</v>
      </c>
      <c r="K71" s="35" t="s">
        <v>2</v>
      </c>
      <c r="L71" s="35" t="s">
        <v>2</v>
      </c>
      <c r="M71" s="36" t="s">
        <v>0</v>
      </c>
      <c r="N71" s="36" t="s">
        <v>0</v>
      </c>
      <c r="O71" s="35" t="s">
        <v>2</v>
      </c>
      <c r="P71" s="35" t="s">
        <v>2</v>
      </c>
      <c r="Q71" s="35" t="s">
        <v>2</v>
      </c>
      <c r="R71" s="35" t="s">
        <v>2</v>
      </c>
      <c r="S71" s="35" t="s">
        <v>2</v>
      </c>
      <c r="T71" s="36" t="s">
        <v>0</v>
      </c>
      <c r="U71" s="36" t="s">
        <v>0</v>
      </c>
      <c r="V71" s="35" t="s">
        <v>2</v>
      </c>
      <c r="W71" s="35" t="s">
        <v>2</v>
      </c>
      <c r="X71" s="35" t="s">
        <v>2</v>
      </c>
      <c r="Y71" s="35" t="s">
        <v>2</v>
      </c>
      <c r="Z71" s="35" t="s">
        <v>2</v>
      </c>
      <c r="AA71" s="36" t="s">
        <v>0</v>
      </c>
      <c r="AB71" s="36" t="s">
        <v>0</v>
      </c>
      <c r="AC71" s="35" t="s">
        <v>2</v>
      </c>
      <c r="AD71" s="35" t="s">
        <v>2</v>
      </c>
      <c r="AE71" s="35" t="s">
        <v>2</v>
      </c>
      <c r="AF71" s="35" t="s">
        <v>2</v>
      </c>
      <c r="AG71" s="35" t="s">
        <v>2</v>
      </c>
      <c r="AH71" s="82" t="s">
        <v>0</v>
      </c>
      <c r="AI71" s="10">
        <f t="shared" si="17"/>
        <v>3</v>
      </c>
      <c r="AJ71" s="9">
        <f t="shared" si="18"/>
        <v>22</v>
      </c>
    </row>
    <row r="72" spans="1:36" x14ac:dyDescent="0.25">
      <c r="A72" s="59" t="s">
        <v>18</v>
      </c>
      <c r="B72" s="58">
        <f>AJ48</f>
        <v>27</v>
      </c>
      <c r="C72" s="295"/>
      <c r="D72" s="50" t="s">
        <v>2</v>
      </c>
      <c r="E72" s="35" t="s">
        <v>2</v>
      </c>
      <c r="F72" s="35" t="s">
        <v>2</v>
      </c>
      <c r="G72" s="35" t="s">
        <v>2</v>
      </c>
      <c r="H72" s="36" t="s">
        <v>0</v>
      </c>
      <c r="I72" s="36" t="s">
        <v>0</v>
      </c>
      <c r="J72" s="35" t="s">
        <v>2</v>
      </c>
      <c r="K72" s="35" t="s">
        <v>2</v>
      </c>
      <c r="L72" s="35" t="s">
        <v>2</v>
      </c>
      <c r="M72" s="35" t="s">
        <v>2</v>
      </c>
      <c r="N72" s="35" t="s">
        <v>31</v>
      </c>
      <c r="O72" s="36" t="s">
        <v>0</v>
      </c>
      <c r="P72" s="36" t="s">
        <v>0</v>
      </c>
      <c r="Q72" s="35" t="s">
        <v>31</v>
      </c>
      <c r="R72" s="35" t="s">
        <v>31</v>
      </c>
      <c r="S72" s="35" t="s">
        <v>31</v>
      </c>
      <c r="T72" s="35" t="s">
        <v>2</v>
      </c>
      <c r="U72" s="35" t="s">
        <v>2</v>
      </c>
      <c r="V72" s="36" t="s">
        <v>0</v>
      </c>
      <c r="W72" s="36" t="s">
        <v>0</v>
      </c>
      <c r="X72" s="35" t="s">
        <v>2</v>
      </c>
      <c r="Y72" s="35" t="s">
        <v>2</v>
      </c>
      <c r="Z72" s="35" t="s">
        <v>2</v>
      </c>
      <c r="AA72" s="35" t="s">
        <v>2</v>
      </c>
      <c r="AB72" s="35" t="s">
        <v>2</v>
      </c>
      <c r="AC72" s="36" t="s">
        <v>0</v>
      </c>
      <c r="AD72" s="36" t="s">
        <v>0</v>
      </c>
      <c r="AE72" s="35" t="s">
        <v>2</v>
      </c>
      <c r="AF72" s="35" t="s">
        <v>2</v>
      </c>
      <c r="AG72" s="35" t="s">
        <v>2</v>
      </c>
      <c r="AH72" s="87" t="s">
        <v>2</v>
      </c>
      <c r="AI72" s="10">
        <f t="shared" si="17"/>
        <v>4</v>
      </c>
      <c r="AJ72" s="9">
        <f t="shared" si="18"/>
        <v>23</v>
      </c>
    </row>
    <row r="73" spans="1:36" ht="15.75" thickBot="1" x14ac:dyDescent="0.3">
      <c r="A73" s="158" t="s">
        <v>37</v>
      </c>
      <c r="B73" s="159">
        <v>25</v>
      </c>
      <c r="C73" s="295"/>
      <c r="D73" s="160" t="s">
        <v>2</v>
      </c>
      <c r="E73" s="161" t="s">
        <v>2</v>
      </c>
      <c r="F73" s="162" t="s">
        <v>2</v>
      </c>
      <c r="G73" s="162" t="s">
        <v>0</v>
      </c>
      <c r="H73" s="161" t="s">
        <v>0</v>
      </c>
      <c r="I73" s="161" t="s">
        <v>2</v>
      </c>
      <c r="J73" s="161" t="s">
        <v>2</v>
      </c>
      <c r="K73" s="161" t="s">
        <v>2</v>
      </c>
      <c r="L73" s="161" t="s">
        <v>2</v>
      </c>
      <c r="M73" s="161" t="s">
        <v>2</v>
      </c>
      <c r="N73" s="162" t="s">
        <v>0</v>
      </c>
      <c r="O73" s="161" t="s">
        <v>0</v>
      </c>
      <c r="P73" s="161" t="s">
        <v>2</v>
      </c>
      <c r="Q73" s="161" t="s">
        <v>2</v>
      </c>
      <c r="R73" s="161" t="s">
        <v>2</v>
      </c>
      <c r="S73" s="161" t="s">
        <v>2</v>
      </c>
      <c r="T73" s="161" t="s">
        <v>2</v>
      </c>
      <c r="U73" s="162" t="s">
        <v>0</v>
      </c>
      <c r="V73" s="161" t="s">
        <v>0</v>
      </c>
      <c r="W73" s="161" t="s">
        <v>2</v>
      </c>
      <c r="X73" s="161" t="s">
        <v>2</v>
      </c>
      <c r="Y73" s="161" t="s">
        <v>2</v>
      </c>
      <c r="Z73" s="161" t="s">
        <v>2</v>
      </c>
      <c r="AA73" s="161" t="s">
        <v>2</v>
      </c>
      <c r="AB73" s="162" t="s">
        <v>0</v>
      </c>
      <c r="AC73" s="161" t="s">
        <v>0</v>
      </c>
      <c r="AD73" s="161" t="s">
        <v>2</v>
      </c>
      <c r="AE73" s="161" t="s">
        <v>2</v>
      </c>
      <c r="AF73" s="161" t="s">
        <v>2</v>
      </c>
      <c r="AG73" s="161" t="s">
        <v>2</v>
      </c>
      <c r="AH73" s="161" t="s">
        <v>2</v>
      </c>
      <c r="AI73" s="10">
        <f t="shared" si="17"/>
        <v>0</v>
      </c>
      <c r="AJ73" s="9">
        <f t="shared" si="18"/>
        <v>25</v>
      </c>
    </row>
    <row r="74" spans="1:36" ht="15.75" thickBot="1" x14ac:dyDescent="0.3">
      <c r="A74" s="55" t="s">
        <v>15</v>
      </c>
      <c r="B74" s="54">
        <f t="shared" ref="B74:B87" si="19">AJ51</f>
        <v>33</v>
      </c>
      <c r="C74" s="295"/>
      <c r="D74" s="44" t="s">
        <v>2</v>
      </c>
      <c r="E74" s="42" t="s">
        <v>2</v>
      </c>
      <c r="F74" s="42" t="s">
        <v>2</v>
      </c>
      <c r="G74" s="43" t="s">
        <v>0</v>
      </c>
      <c r="H74" s="43" t="s">
        <v>0</v>
      </c>
      <c r="I74" s="42" t="s">
        <v>2</v>
      </c>
      <c r="J74" s="42" t="s">
        <v>31</v>
      </c>
      <c r="K74" s="42" t="s">
        <v>31</v>
      </c>
      <c r="L74" s="42" t="s">
        <v>31</v>
      </c>
      <c r="M74" s="42" t="s">
        <v>31</v>
      </c>
      <c r="N74" s="43" t="s">
        <v>0</v>
      </c>
      <c r="O74" s="43" t="s">
        <v>0</v>
      </c>
      <c r="P74" s="42" t="s">
        <v>31</v>
      </c>
      <c r="Q74" s="42" t="s">
        <v>31</v>
      </c>
      <c r="R74" s="42" t="s">
        <v>31</v>
      </c>
      <c r="S74" s="42" t="s">
        <v>31</v>
      </c>
      <c r="T74" s="42" t="s">
        <v>31</v>
      </c>
      <c r="U74" s="43" t="s">
        <v>0</v>
      </c>
      <c r="V74" s="43" t="s">
        <v>0</v>
      </c>
      <c r="W74" s="42" t="s">
        <v>2</v>
      </c>
      <c r="X74" s="42" t="s">
        <v>2</v>
      </c>
      <c r="Y74" s="42" t="s">
        <v>2</v>
      </c>
      <c r="Z74" s="42" t="s">
        <v>2</v>
      </c>
      <c r="AA74" s="42" t="s">
        <v>2</v>
      </c>
      <c r="AB74" s="43" t="s">
        <v>0</v>
      </c>
      <c r="AC74" s="43" t="s">
        <v>0</v>
      </c>
      <c r="AD74" s="42" t="s">
        <v>2</v>
      </c>
      <c r="AE74" s="42" t="s">
        <v>2</v>
      </c>
      <c r="AF74" s="42" t="s">
        <v>2</v>
      </c>
      <c r="AG74" s="42" t="s">
        <v>2</v>
      </c>
      <c r="AH74" s="84" t="s">
        <v>2</v>
      </c>
      <c r="AI74" s="10">
        <f t="shared" si="17"/>
        <v>9</v>
      </c>
      <c r="AJ74" s="9">
        <f t="shared" si="16"/>
        <v>24</v>
      </c>
    </row>
    <row r="75" spans="1:36" ht="14.25" customHeight="1" x14ac:dyDescent="0.25">
      <c r="A75" s="52" t="s">
        <v>14</v>
      </c>
      <c r="B75" s="51">
        <f t="shared" si="19"/>
        <v>31</v>
      </c>
      <c r="C75" s="295"/>
      <c r="D75" s="50" t="s">
        <v>2</v>
      </c>
      <c r="E75" s="35" t="s">
        <v>2</v>
      </c>
      <c r="F75" s="35" t="s">
        <v>2</v>
      </c>
      <c r="G75" s="36" t="s">
        <v>0</v>
      </c>
      <c r="H75" s="36" t="s">
        <v>0</v>
      </c>
      <c r="I75" s="35" t="s">
        <v>2</v>
      </c>
      <c r="J75" s="35" t="s">
        <v>2</v>
      </c>
      <c r="K75" s="35" t="s">
        <v>2</v>
      </c>
      <c r="L75" s="35" t="s">
        <v>2</v>
      </c>
      <c r="M75" s="35" t="s">
        <v>2</v>
      </c>
      <c r="N75" s="36" t="s">
        <v>0</v>
      </c>
      <c r="O75" s="36" t="s">
        <v>0</v>
      </c>
      <c r="P75" s="35" t="s">
        <v>2</v>
      </c>
      <c r="Q75" s="35" t="s">
        <v>2</v>
      </c>
      <c r="R75" s="35" t="s">
        <v>2</v>
      </c>
      <c r="S75" s="35" t="s">
        <v>2</v>
      </c>
      <c r="T75" s="35" t="s">
        <v>2</v>
      </c>
      <c r="U75" s="36" t="s">
        <v>0</v>
      </c>
      <c r="V75" s="36" t="s">
        <v>0</v>
      </c>
      <c r="W75" s="42" t="s">
        <v>2</v>
      </c>
      <c r="X75" s="42" t="s">
        <v>2</v>
      </c>
      <c r="Y75" s="42" t="s">
        <v>2</v>
      </c>
      <c r="Z75" s="42" t="s">
        <v>2</v>
      </c>
      <c r="AA75" s="42" t="s">
        <v>2</v>
      </c>
      <c r="AB75" s="36" t="s">
        <v>0</v>
      </c>
      <c r="AC75" s="36" t="s">
        <v>0</v>
      </c>
      <c r="AD75" s="42" t="s">
        <v>31</v>
      </c>
      <c r="AE75" s="42" t="s">
        <v>31</v>
      </c>
      <c r="AF75" s="42" t="s">
        <v>31</v>
      </c>
      <c r="AG75" s="42" t="s">
        <v>31</v>
      </c>
      <c r="AH75" s="42" t="s">
        <v>31</v>
      </c>
      <c r="AI75" s="10">
        <f t="shared" si="15"/>
        <v>5</v>
      </c>
      <c r="AJ75" s="9">
        <f t="shared" si="16"/>
        <v>26</v>
      </c>
    </row>
    <row r="76" spans="1:36" ht="15.75" thickBot="1" x14ac:dyDescent="0.3">
      <c r="A76" s="49" t="s">
        <v>13</v>
      </c>
      <c r="B76" s="48">
        <f t="shared" si="19"/>
        <v>27</v>
      </c>
      <c r="C76" s="295"/>
      <c r="D76" s="47" t="s">
        <v>2</v>
      </c>
      <c r="E76" s="30" t="s">
        <v>2</v>
      </c>
      <c r="F76" s="30" t="s">
        <v>2</v>
      </c>
      <c r="G76" s="28" t="s">
        <v>0</v>
      </c>
      <c r="H76" s="28" t="s">
        <v>0</v>
      </c>
      <c r="I76" s="30" t="s">
        <v>2</v>
      </c>
      <c r="J76" s="30" t="s">
        <v>2</v>
      </c>
      <c r="K76" s="30" t="s">
        <v>2</v>
      </c>
      <c r="L76" s="30" t="s">
        <v>2</v>
      </c>
      <c r="M76" s="30" t="s">
        <v>2</v>
      </c>
      <c r="N76" s="28" t="s">
        <v>0</v>
      </c>
      <c r="O76" s="28" t="s">
        <v>0</v>
      </c>
      <c r="P76" s="30" t="s">
        <v>2</v>
      </c>
      <c r="Q76" s="30" t="s">
        <v>2</v>
      </c>
      <c r="R76" s="30" t="s">
        <v>2</v>
      </c>
      <c r="S76" s="30" t="s">
        <v>2</v>
      </c>
      <c r="T76" s="30" t="s">
        <v>2</v>
      </c>
      <c r="U76" s="28" t="s">
        <v>0</v>
      </c>
      <c r="V76" s="28" t="s">
        <v>0</v>
      </c>
      <c r="W76" s="30" t="s">
        <v>31</v>
      </c>
      <c r="X76" s="30" t="s">
        <v>31</v>
      </c>
      <c r="Y76" s="30" t="s">
        <v>31</v>
      </c>
      <c r="Z76" s="30" t="s">
        <v>31</v>
      </c>
      <c r="AA76" s="30" t="s">
        <v>31</v>
      </c>
      <c r="AB76" s="30" t="s">
        <v>31</v>
      </c>
      <c r="AC76" s="30" t="s">
        <v>31</v>
      </c>
      <c r="AD76" s="30" t="s">
        <v>2</v>
      </c>
      <c r="AE76" s="30" t="s">
        <v>2</v>
      </c>
      <c r="AF76" s="30" t="s">
        <v>2</v>
      </c>
      <c r="AG76" s="30" t="s">
        <v>2</v>
      </c>
      <c r="AH76" s="86" t="s">
        <v>2</v>
      </c>
      <c r="AI76" s="10">
        <f t="shared" si="15"/>
        <v>7</v>
      </c>
      <c r="AJ76" s="9">
        <f t="shared" si="16"/>
        <v>20</v>
      </c>
    </row>
    <row r="77" spans="1:36" x14ac:dyDescent="0.25">
      <c r="A77" s="46" t="s">
        <v>12</v>
      </c>
      <c r="B77" s="45">
        <f t="shared" si="19"/>
        <v>47</v>
      </c>
      <c r="C77" s="295"/>
      <c r="D77" s="123" t="s">
        <v>0</v>
      </c>
      <c r="E77" s="122" t="s">
        <v>0</v>
      </c>
      <c r="F77" s="121" t="s">
        <v>2</v>
      </c>
      <c r="G77" s="121" t="s">
        <v>2</v>
      </c>
      <c r="H77" s="121" t="s">
        <v>2</v>
      </c>
      <c r="I77" s="121" t="s">
        <v>2</v>
      </c>
      <c r="J77" s="121" t="s">
        <v>2</v>
      </c>
      <c r="K77" s="121" t="s">
        <v>2</v>
      </c>
      <c r="L77" s="23" t="s">
        <v>0</v>
      </c>
      <c r="M77" s="23" t="s">
        <v>0</v>
      </c>
      <c r="N77" s="23" t="s">
        <v>0</v>
      </c>
      <c r="O77" s="121" t="s">
        <v>2</v>
      </c>
      <c r="P77" s="121" t="s">
        <v>2</v>
      </c>
      <c r="Q77" s="121" t="s">
        <v>2</v>
      </c>
      <c r="R77" s="121" t="s">
        <v>2</v>
      </c>
      <c r="S77" s="121" t="s">
        <v>2</v>
      </c>
      <c r="T77" s="121" t="s">
        <v>2</v>
      </c>
      <c r="U77" s="23" t="s">
        <v>0</v>
      </c>
      <c r="V77" s="23" t="s">
        <v>0</v>
      </c>
      <c r="W77" s="23" t="s">
        <v>0</v>
      </c>
      <c r="X77" s="121" t="s">
        <v>2</v>
      </c>
      <c r="Y77" s="121" t="s">
        <v>2</v>
      </c>
      <c r="Z77" s="121" t="s">
        <v>2</v>
      </c>
      <c r="AA77" s="121" t="s">
        <v>2</v>
      </c>
      <c r="AB77" s="121" t="s">
        <v>2</v>
      </c>
      <c r="AC77" s="121" t="s">
        <v>2</v>
      </c>
      <c r="AD77" s="122" t="s">
        <v>0</v>
      </c>
      <c r="AE77" s="122" t="s">
        <v>0</v>
      </c>
      <c r="AF77" s="122" t="s">
        <v>0</v>
      </c>
      <c r="AG77" s="121" t="s">
        <v>31</v>
      </c>
      <c r="AH77" s="120" t="s">
        <v>31</v>
      </c>
      <c r="AI77" s="10">
        <f t="shared" si="15"/>
        <v>2</v>
      </c>
      <c r="AJ77" s="9">
        <f t="shared" si="16"/>
        <v>45</v>
      </c>
    </row>
    <row r="78" spans="1:36" x14ac:dyDescent="0.25">
      <c r="A78" s="40" t="s">
        <v>11</v>
      </c>
      <c r="B78" s="39">
        <f t="shared" si="19"/>
        <v>32</v>
      </c>
      <c r="C78" s="295"/>
      <c r="D78" s="83" t="s">
        <v>1</v>
      </c>
      <c r="E78" s="37" t="s">
        <v>1</v>
      </c>
      <c r="F78" s="36" t="s">
        <v>0</v>
      </c>
      <c r="G78" s="36" t="s">
        <v>0</v>
      </c>
      <c r="H78" s="36" t="s">
        <v>0</v>
      </c>
      <c r="I78" s="35" t="s">
        <v>2</v>
      </c>
      <c r="J78" s="35" t="s">
        <v>2</v>
      </c>
      <c r="K78" s="35" t="s">
        <v>2</v>
      </c>
      <c r="L78" s="37" t="s">
        <v>1</v>
      </c>
      <c r="M78" s="37" t="s">
        <v>1</v>
      </c>
      <c r="N78" s="37" t="s">
        <v>1</v>
      </c>
      <c r="O78" s="36" t="s">
        <v>0</v>
      </c>
      <c r="P78" s="36" t="s">
        <v>0</v>
      </c>
      <c r="Q78" s="36" t="s">
        <v>0</v>
      </c>
      <c r="R78" s="35" t="s">
        <v>2</v>
      </c>
      <c r="S78" s="35" t="s">
        <v>2</v>
      </c>
      <c r="T78" s="35" t="s">
        <v>2</v>
      </c>
      <c r="U78" s="37" t="s">
        <v>1</v>
      </c>
      <c r="V78" s="37" t="s">
        <v>1</v>
      </c>
      <c r="W78" s="37" t="s">
        <v>1</v>
      </c>
      <c r="X78" s="36" t="s">
        <v>0</v>
      </c>
      <c r="Y78" s="36" t="s">
        <v>0</v>
      </c>
      <c r="Z78" s="36" t="s">
        <v>0</v>
      </c>
      <c r="AA78" s="35" t="s">
        <v>2</v>
      </c>
      <c r="AB78" s="35" t="s">
        <v>2</v>
      </c>
      <c r="AC78" s="35" t="s">
        <v>2</v>
      </c>
      <c r="AD78" s="35" t="s">
        <v>1</v>
      </c>
      <c r="AE78" s="35" t="s">
        <v>1</v>
      </c>
      <c r="AF78" s="37" t="s">
        <v>1</v>
      </c>
      <c r="AG78" s="36" t="s">
        <v>0</v>
      </c>
      <c r="AH78" s="82" t="s">
        <v>0</v>
      </c>
      <c r="AI78" s="10">
        <f t="shared" si="15"/>
        <v>0</v>
      </c>
      <c r="AJ78" s="9">
        <f t="shared" si="16"/>
        <v>32</v>
      </c>
    </row>
    <row r="79" spans="1:36" ht="15.75" thickBot="1" x14ac:dyDescent="0.3">
      <c r="A79" s="33" t="s">
        <v>10</v>
      </c>
      <c r="B79" s="32">
        <f t="shared" si="19"/>
        <v>33</v>
      </c>
      <c r="C79" s="295"/>
      <c r="D79" s="119" t="s">
        <v>2</v>
      </c>
      <c r="E79" s="117" t="s">
        <v>2</v>
      </c>
      <c r="F79" s="116" t="s">
        <v>1</v>
      </c>
      <c r="G79" s="116" t="s">
        <v>1</v>
      </c>
      <c r="H79" s="116" t="s">
        <v>1</v>
      </c>
      <c r="I79" s="118" t="s">
        <v>0</v>
      </c>
      <c r="J79" s="118" t="s">
        <v>0</v>
      </c>
      <c r="K79" s="118" t="s">
        <v>0</v>
      </c>
      <c r="L79" s="117" t="s">
        <v>31</v>
      </c>
      <c r="M79" s="117" t="s">
        <v>31</v>
      </c>
      <c r="N79" s="117" t="s">
        <v>31</v>
      </c>
      <c r="O79" s="117" t="s">
        <v>31</v>
      </c>
      <c r="P79" s="117" t="s">
        <v>31</v>
      </c>
      <c r="Q79" s="117" t="s">
        <v>31</v>
      </c>
      <c r="R79" s="117" t="s">
        <v>31</v>
      </c>
      <c r="S79" s="117" t="s">
        <v>31</v>
      </c>
      <c r="T79" s="117" t="s">
        <v>31</v>
      </c>
      <c r="U79" s="117" t="s">
        <v>31</v>
      </c>
      <c r="V79" s="117" t="s">
        <v>31</v>
      </c>
      <c r="W79" s="117" t="s">
        <v>31</v>
      </c>
      <c r="X79" s="117" t="s">
        <v>31</v>
      </c>
      <c r="Y79" s="117" t="s">
        <v>31</v>
      </c>
      <c r="Z79" s="116" t="s">
        <v>1</v>
      </c>
      <c r="AA79" s="118" t="s">
        <v>0</v>
      </c>
      <c r="AB79" s="118" t="s">
        <v>0</v>
      </c>
      <c r="AC79" s="118" t="s">
        <v>0</v>
      </c>
      <c r="AD79" s="117" t="s">
        <v>2</v>
      </c>
      <c r="AE79" s="117" t="s">
        <v>2</v>
      </c>
      <c r="AF79" s="117" t="s">
        <v>2</v>
      </c>
      <c r="AG79" s="116" t="s">
        <v>1</v>
      </c>
      <c r="AH79" s="115" t="s">
        <v>1</v>
      </c>
      <c r="AI79" s="10">
        <f t="shared" si="15"/>
        <v>14</v>
      </c>
      <c r="AJ79" s="9">
        <f t="shared" si="16"/>
        <v>19</v>
      </c>
    </row>
    <row r="80" spans="1:36" x14ac:dyDescent="0.25">
      <c r="A80" s="26" t="s">
        <v>9</v>
      </c>
      <c r="B80" s="25">
        <f t="shared" si="19"/>
        <v>46</v>
      </c>
      <c r="C80" s="295"/>
      <c r="D80" s="80" t="s">
        <v>2</v>
      </c>
      <c r="E80" s="22" t="s">
        <v>0</v>
      </c>
      <c r="F80" s="22" t="s">
        <v>0</v>
      </c>
      <c r="G80" s="22" t="s">
        <v>0</v>
      </c>
      <c r="H80" s="23" t="s">
        <v>2</v>
      </c>
      <c r="I80" s="23" t="s">
        <v>2</v>
      </c>
      <c r="J80" s="23" t="s">
        <v>2</v>
      </c>
      <c r="K80" s="23" t="s">
        <v>2</v>
      </c>
      <c r="L80" s="23" t="s">
        <v>2</v>
      </c>
      <c r="M80" s="23" t="s">
        <v>2</v>
      </c>
      <c r="N80" s="22" t="s">
        <v>0</v>
      </c>
      <c r="O80" s="22" t="s">
        <v>0</v>
      </c>
      <c r="P80" s="22" t="s">
        <v>0</v>
      </c>
      <c r="Q80" s="23" t="s">
        <v>2</v>
      </c>
      <c r="R80" s="23" t="s">
        <v>2</v>
      </c>
      <c r="S80" s="23" t="s">
        <v>2</v>
      </c>
      <c r="T80" s="23" t="s">
        <v>2</v>
      </c>
      <c r="U80" s="23" t="s">
        <v>2</v>
      </c>
      <c r="V80" s="23" t="s">
        <v>2</v>
      </c>
      <c r="W80" s="22" t="s">
        <v>0</v>
      </c>
      <c r="X80" s="22" t="s">
        <v>0</v>
      </c>
      <c r="Y80" s="22" t="s">
        <v>0</v>
      </c>
      <c r="Z80" s="23" t="s">
        <v>2</v>
      </c>
      <c r="AA80" s="23" t="s">
        <v>2</v>
      </c>
      <c r="AB80" s="23" t="s">
        <v>31</v>
      </c>
      <c r="AC80" s="23" t="s">
        <v>31</v>
      </c>
      <c r="AD80" s="23" t="s">
        <v>31</v>
      </c>
      <c r="AE80" s="23" t="s">
        <v>31</v>
      </c>
      <c r="AF80" s="22" t="s">
        <v>0</v>
      </c>
      <c r="AG80" s="22" t="s">
        <v>0</v>
      </c>
      <c r="AH80" s="79" t="s">
        <v>0</v>
      </c>
      <c r="AI80" s="10">
        <f t="shared" si="15"/>
        <v>4</v>
      </c>
      <c r="AJ80" s="9">
        <f t="shared" si="16"/>
        <v>42</v>
      </c>
    </row>
    <row r="81" spans="1:36" x14ac:dyDescent="0.25">
      <c r="A81" s="16" t="s">
        <v>7</v>
      </c>
      <c r="B81" s="15">
        <f t="shared" si="19"/>
        <v>42</v>
      </c>
      <c r="C81" s="295"/>
      <c r="D81" s="14" t="s">
        <v>2</v>
      </c>
      <c r="E81" s="13" t="s">
        <v>2</v>
      </c>
      <c r="F81" s="13" t="s">
        <v>0</v>
      </c>
      <c r="G81" s="13" t="s">
        <v>0</v>
      </c>
      <c r="H81" s="13" t="s">
        <v>2</v>
      </c>
      <c r="I81" s="13" t="s">
        <v>2</v>
      </c>
      <c r="J81" s="13" t="s">
        <v>2</v>
      </c>
      <c r="K81" s="13" t="s">
        <v>2</v>
      </c>
      <c r="L81" s="13" t="s">
        <v>2</v>
      </c>
      <c r="M81" s="13" t="s">
        <v>0</v>
      </c>
      <c r="N81" s="13" t="s">
        <v>0</v>
      </c>
      <c r="O81" s="13" t="s">
        <v>2</v>
      </c>
      <c r="P81" s="13" t="s">
        <v>2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0</v>
      </c>
      <c r="AB81" s="13" t="s">
        <v>0</v>
      </c>
      <c r="AC81" s="13" t="s">
        <v>2</v>
      </c>
      <c r="AD81" s="13" t="s">
        <v>2</v>
      </c>
      <c r="AE81" s="13" t="s">
        <v>2</v>
      </c>
      <c r="AF81" s="13" t="s">
        <v>2</v>
      </c>
      <c r="AG81" s="13" t="s">
        <v>2</v>
      </c>
      <c r="AH81" s="77" t="s">
        <v>0</v>
      </c>
      <c r="AI81" s="10">
        <f t="shared" ref="AI81" si="20">COUNTIF(D81:AH81,"V")</f>
        <v>10</v>
      </c>
      <c r="AJ81" s="9">
        <f t="shared" ref="AJ81" si="21">B81-AI81</f>
        <v>32</v>
      </c>
    </row>
    <row r="82" spans="1:36" x14ac:dyDescent="0.25">
      <c r="A82" s="16" t="s">
        <v>8</v>
      </c>
      <c r="B82" s="15">
        <f t="shared" si="19"/>
        <v>44</v>
      </c>
      <c r="C82" s="295"/>
      <c r="D82" s="14" t="s">
        <v>0</v>
      </c>
      <c r="E82" s="13" t="s">
        <v>0</v>
      </c>
      <c r="F82" s="13" t="s">
        <v>1</v>
      </c>
      <c r="G82" s="13" t="s">
        <v>1</v>
      </c>
      <c r="H82" s="13" t="s">
        <v>1</v>
      </c>
      <c r="I82" s="13" t="s">
        <v>1</v>
      </c>
      <c r="J82" s="13" t="s">
        <v>1</v>
      </c>
      <c r="K82" s="13" t="s">
        <v>1</v>
      </c>
      <c r="L82" s="13" t="s">
        <v>0</v>
      </c>
      <c r="M82" s="13" t="s">
        <v>0</v>
      </c>
      <c r="N82" s="13" t="s">
        <v>0</v>
      </c>
      <c r="O82" s="12" t="s">
        <v>2</v>
      </c>
      <c r="P82" s="12" t="s">
        <v>2</v>
      </c>
      <c r="Q82" s="12" t="s">
        <v>2</v>
      </c>
      <c r="R82" s="12" t="s">
        <v>2</v>
      </c>
      <c r="S82" s="12" t="s">
        <v>2</v>
      </c>
      <c r="T82" s="12" t="s">
        <v>2</v>
      </c>
      <c r="U82" s="12" t="s">
        <v>0</v>
      </c>
      <c r="V82" s="12" t="s">
        <v>0</v>
      </c>
      <c r="W82" s="12" t="s">
        <v>0</v>
      </c>
      <c r="X82" s="13" t="s">
        <v>1</v>
      </c>
      <c r="Y82" s="13" t="s">
        <v>1</v>
      </c>
      <c r="Z82" s="13" t="s">
        <v>1</v>
      </c>
      <c r="AA82" s="13" t="s">
        <v>1</v>
      </c>
      <c r="AB82" s="13" t="s">
        <v>1</v>
      </c>
      <c r="AC82" s="13" t="s">
        <v>1</v>
      </c>
      <c r="AD82" s="13" t="s">
        <v>0</v>
      </c>
      <c r="AE82" s="13" t="s">
        <v>0</v>
      </c>
      <c r="AF82" s="13" t="s">
        <v>0</v>
      </c>
      <c r="AG82" s="12" t="s">
        <v>2</v>
      </c>
      <c r="AH82" s="100" t="s">
        <v>2</v>
      </c>
      <c r="AI82" s="10">
        <f t="shared" si="15"/>
        <v>0</v>
      </c>
      <c r="AJ82" s="9">
        <f t="shared" si="16"/>
        <v>44</v>
      </c>
    </row>
    <row r="83" spans="1:36" x14ac:dyDescent="0.25">
      <c r="A83" s="16" t="s">
        <v>33</v>
      </c>
      <c r="B83" s="15">
        <f t="shared" si="19"/>
        <v>42</v>
      </c>
      <c r="C83" s="295"/>
      <c r="D83" s="14" t="s">
        <v>0</v>
      </c>
      <c r="E83" s="13" t="s">
        <v>0</v>
      </c>
      <c r="F83" s="13" t="s">
        <v>2</v>
      </c>
      <c r="G83" s="13" t="s">
        <v>2</v>
      </c>
      <c r="H83" s="13" t="s">
        <v>2</v>
      </c>
      <c r="I83" s="13" t="s">
        <v>2</v>
      </c>
      <c r="J83" s="13" t="s">
        <v>2</v>
      </c>
      <c r="K83" s="13" t="s">
        <v>2</v>
      </c>
      <c r="L83" s="13" t="s">
        <v>0</v>
      </c>
      <c r="M83" s="13" t="s">
        <v>0</v>
      </c>
      <c r="N83" s="13" t="s">
        <v>0</v>
      </c>
      <c r="O83" s="13" t="s">
        <v>1</v>
      </c>
      <c r="P83" s="13" t="s">
        <v>1</v>
      </c>
      <c r="Q83" s="13" t="s">
        <v>1</v>
      </c>
      <c r="R83" s="13" t="s">
        <v>1</v>
      </c>
      <c r="S83" s="13" t="s">
        <v>1</v>
      </c>
      <c r="T83" s="13" t="s">
        <v>1</v>
      </c>
      <c r="U83" s="12" t="s">
        <v>0</v>
      </c>
      <c r="V83" s="12" t="s">
        <v>0</v>
      </c>
      <c r="W83" s="12" t="s">
        <v>0</v>
      </c>
      <c r="X83" s="13" t="s">
        <v>2</v>
      </c>
      <c r="Y83" s="13" t="s">
        <v>2</v>
      </c>
      <c r="Z83" s="13" t="s">
        <v>2</v>
      </c>
      <c r="AA83" s="13" t="s">
        <v>2</v>
      </c>
      <c r="AB83" s="13" t="s">
        <v>2</v>
      </c>
      <c r="AC83" s="13" t="s">
        <v>2</v>
      </c>
      <c r="AD83" s="13" t="s">
        <v>0</v>
      </c>
      <c r="AE83" s="13" t="s">
        <v>0</v>
      </c>
      <c r="AF83" s="13" t="s">
        <v>0</v>
      </c>
      <c r="AG83" s="13" t="s">
        <v>1</v>
      </c>
      <c r="AH83" s="77" t="s">
        <v>1</v>
      </c>
      <c r="AI83" s="10">
        <f t="shared" si="15"/>
        <v>0</v>
      </c>
      <c r="AJ83" s="9">
        <f t="shared" si="16"/>
        <v>42</v>
      </c>
    </row>
    <row r="84" spans="1:36" x14ac:dyDescent="0.25">
      <c r="A84" s="16" t="s">
        <v>6</v>
      </c>
      <c r="B84" s="15">
        <f t="shared" si="19"/>
        <v>49</v>
      </c>
      <c r="C84" s="295"/>
      <c r="D84" s="14" t="s">
        <v>2</v>
      </c>
      <c r="E84" s="13" t="s">
        <v>2</v>
      </c>
      <c r="F84" s="13" t="s">
        <v>0</v>
      </c>
      <c r="G84" s="13" t="s">
        <v>0</v>
      </c>
      <c r="H84" s="13" t="s">
        <v>0</v>
      </c>
      <c r="I84" s="17" t="s">
        <v>1</v>
      </c>
      <c r="J84" s="17" t="s">
        <v>1</v>
      </c>
      <c r="K84" s="17" t="s">
        <v>1</v>
      </c>
      <c r="L84" s="17" t="s">
        <v>31</v>
      </c>
      <c r="M84" s="17" t="s">
        <v>31</v>
      </c>
      <c r="N84" s="17" t="s">
        <v>31</v>
      </c>
      <c r="O84" s="17" t="s">
        <v>31</v>
      </c>
      <c r="P84" s="17" t="s">
        <v>31</v>
      </c>
      <c r="Q84" s="17" t="s">
        <v>31</v>
      </c>
      <c r="R84" s="17" t="s">
        <v>31</v>
      </c>
      <c r="S84" s="17" t="s">
        <v>31</v>
      </c>
      <c r="T84" s="17" t="s">
        <v>31</v>
      </c>
      <c r="U84" s="17" t="s">
        <v>31</v>
      </c>
      <c r="V84" s="17" t="s">
        <v>31</v>
      </c>
      <c r="W84" s="17" t="s">
        <v>31</v>
      </c>
      <c r="X84" s="13" t="s">
        <v>0</v>
      </c>
      <c r="Y84" s="13" t="s">
        <v>0</v>
      </c>
      <c r="Z84" s="13" t="s">
        <v>0</v>
      </c>
      <c r="AA84" s="17" t="s">
        <v>1</v>
      </c>
      <c r="AB84" s="17" t="s">
        <v>1</v>
      </c>
      <c r="AC84" s="17" t="s">
        <v>1</v>
      </c>
      <c r="AD84" s="17" t="s">
        <v>1</v>
      </c>
      <c r="AE84" s="17" t="s">
        <v>1</v>
      </c>
      <c r="AF84" s="17" t="s">
        <v>1</v>
      </c>
      <c r="AG84" s="13" t="s">
        <v>0</v>
      </c>
      <c r="AH84" s="77" t="s">
        <v>0</v>
      </c>
      <c r="AI84" s="10">
        <f t="shared" si="15"/>
        <v>12</v>
      </c>
      <c r="AJ84" s="9">
        <f t="shared" si="16"/>
        <v>37</v>
      </c>
    </row>
    <row r="85" spans="1:36" x14ac:dyDescent="0.25">
      <c r="A85" s="16" t="s">
        <v>5</v>
      </c>
      <c r="B85" s="15">
        <f t="shared" si="19"/>
        <v>49</v>
      </c>
      <c r="C85" s="295"/>
      <c r="D85" s="108" t="s">
        <v>1</v>
      </c>
      <c r="E85" s="12" t="s">
        <v>1</v>
      </c>
      <c r="F85" s="12" t="s">
        <v>0</v>
      </c>
      <c r="G85" s="12" t="s">
        <v>0</v>
      </c>
      <c r="H85" s="12" t="s">
        <v>0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2</v>
      </c>
      <c r="AB85" s="13" t="s">
        <v>2</v>
      </c>
      <c r="AC85" s="13" t="s">
        <v>2</v>
      </c>
      <c r="AD85" s="13" t="s">
        <v>2</v>
      </c>
      <c r="AE85" s="13" t="s">
        <v>2</v>
      </c>
      <c r="AF85" s="13" t="s">
        <v>2</v>
      </c>
      <c r="AG85" s="12" t="s">
        <v>0</v>
      </c>
      <c r="AH85" s="100" t="s">
        <v>0</v>
      </c>
      <c r="AI85" s="10">
        <f t="shared" si="15"/>
        <v>18</v>
      </c>
      <c r="AJ85" s="9">
        <f t="shared" si="16"/>
        <v>31</v>
      </c>
    </row>
    <row r="86" spans="1:36" x14ac:dyDescent="0.25">
      <c r="A86" s="16" t="s">
        <v>4</v>
      </c>
      <c r="B86" s="15">
        <f t="shared" si="19"/>
        <v>33</v>
      </c>
      <c r="C86" s="295"/>
      <c r="D86" s="14" t="s">
        <v>1</v>
      </c>
      <c r="E86" s="13" t="s">
        <v>1</v>
      </c>
      <c r="F86" s="13" t="s">
        <v>31</v>
      </c>
      <c r="G86" s="13" t="s">
        <v>31</v>
      </c>
      <c r="H86" s="13" t="s">
        <v>31</v>
      </c>
      <c r="I86" s="13" t="s">
        <v>0</v>
      </c>
      <c r="J86" s="13" t="s">
        <v>0</v>
      </c>
      <c r="K86" s="13" t="s">
        <v>0</v>
      </c>
      <c r="L86" s="12" t="s">
        <v>2</v>
      </c>
      <c r="M86" s="12" t="s">
        <v>2</v>
      </c>
      <c r="N86" s="12" t="s">
        <v>2</v>
      </c>
      <c r="O86" s="12" t="s">
        <v>2</v>
      </c>
      <c r="P86" s="12" t="s">
        <v>2</v>
      </c>
      <c r="Q86" s="12" t="s">
        <v>2</v>
      </c>
      <c r="R86" s="12" t="s">
        <v>0</v>
      </c>
      <c r="S86" s="12" t="s">
        <v>0</v>
      </c>
      <c r="T86" s="12" t="s">
        <v>0</v>
      </c>
      <c r="U86" s="13" t="s">
        <v>1</v>
      </c>
      <c r="V86" s="13" t="s">
        <v>1</v>
      </c>
      <c r="W86" s="13" t="s">
        <v>1</v>
      </c>
      <c r="X86" s="13" t="s">
        <v>1</v>
      </c>
      <c r="Y86" s="13" t="s">
        <v>1</v>
      </c>
      <c r="Z86" s="13" t="s">
        <v>1</v>
      </c>
      <c r="AA86" s="13" t="s">
        <v>0</v>
      </c>
      <c r="AB86" s="13" t="s">
        <v>0</v>
      </c>
      <c r="AC86" s="13" t="s">
        <v>0</v>
      </c>
      <c r="AD86" s="12" t="s">
        <v>2</v>
      </c>
      <c r="AE86" s="12" t="s">
        <v>2</v>
      </c>
      <c r="AF86" s="12" t="s">
        <v>2</v>
      </c>
      <c r="AG86" s="12" t="s">
        <v>2</v>
      </c>
      <c r="AH86" s="100" t="s">
        <v>2</v>
      </c>
      <c r="AI86" s="10">
        <f t="shared" si="15"/>
        <v>3</v>
      </c>
      <c r="AJ86" s="9">
        <f t="shared" si="16"/>
        <v>30</v>
      </c>
    </row>
    <row r="87" spans="1:36" ht="15.75" thickBot="1" x14ac:dyDescent="0.3">
      <c r="A87" s="8" t="s">
        <v>3</v>
      </c>
      <c r="B87" s="7">
        <f t="shared" si="19"/>
        <v>41</v>
      </c>
      <c r="C87" s="296"/>
      <c r="D87" s="4" t="s">
        <v>2</v>
      </c>
      <c r="E87" s="4" t="s">
        <v>2</v>
      </c>
      <c r="F87" s="4" t="s">
        <v>2</v>
      </c>
      <c r="G87" s="4" t="s">
        <v>2</v>
      </c>
      <c r="H87" s="4" t="s">
        <v>2</v>
      </c>
      <c r="I87" s="5" t="s">
        <v>0</v>
      </c>
      <c r="J87" s="5" t="s">
        <v>0</v>
      </c>
      <c r="K87" s="5" t="s">
        <v>0</v>
      </c>
      <c r="L87" s="5" t="s">
        <v>1</v>
      </c>
      <c r="M87" s="5" t="s">
        <v>1</v>
      </c>
      <c r="N87" s="5" t="s">
        <v>1</v>
      </c>
      <c r="O87" s="5" t="s">
        <v>1</v>
      </c>
      <c r="P87" s="5" t="s">
        <v>1</v>
      </c>
      <c r="Q87" s="5" t="s">
        <v>1</v>
      </c>
      <c r="R87" s="4" t="s">
        <v>0</v>
      </c>
      <c r="S87" s="4" t="s">
        <v>0</v>
      </c>
      <c r="T87" s="4" t="s">
        <v>0</v>
      </c>
      <c r="U87" s="4" t="s">
        <v>2</v>
      </c>
      <c r="V87" s="4" t="s">
        <v>2</v>
      </c>
      <c r="W87" s="4" t="s">
        <v>2</v>
      </c>
      <c r="X87" s="4" t="s">
        <v>2</v>
      </c>
      <c r="Y87" s="4" t="s">
        <v>31</v>
      </c>
      <c r="Z87" s="4" t="s">
        <v>31</v>
      </c>
      <c r="AA87" s="4" t="s">
        <v>31</v>
      </c>
      <c r="AB87" s="4" t="s">
        <v>31</v>
      </c>
      <c r="AC87" s="4" t="s">
        <v>31</v>
      </c>
      <c r="AD87" s="5" t="s">
        <v>31</v>
      </c>
      <c r="AE87" s="5" t="s">
        <v>31</v>
      </c>
      <c r="AF87" s="5" t="s">
        <v>31</v>
      </c>
      <c r="AG87" s="5" t="s">
        <v>31</v>
      </c>
      <c r="AH87" s="96" t="s">
        <v>31</v>
      </c>
      <c r="AI87" s="2">
        <f t="shared" si="15"/>
        <v>10</v>
      </c>
      <c r="AJ87" s="1">
        <f t="shared" si="16"/>
        <v>31</v>
      </c>
    </row>
    <row r="88" spans="1:36" ht="21.75" thickBot="1" x14ac:dyDescent="0.3">
      <c r="A88" s="91"/>
      <c r="B88" s="91"/>
      <c r="C88" s="93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1"/>
      <c r="AJ88" s="91"/>
    </row>
    <row r="89" spans="1:36" ht="15" customHeight="1" x14ac:dyDescent="0.25">
      <c r="A89" s="240" t="s">
        <v>30</v>
      </c>
      <c r="B89" s="254" t="s">
        <v>29</v>
      </c>
      <c r="C89" s="289">
        <v>45870</v>
      </c>
      <c r="D89" s="90" t="s">
        <v>28</v>
      </c>
      <c r="E89" s="71" t="s">
        <v>27</v>
      </c>
      <c r="F89" s="71" t="s">
        <v>26</v>
      </c>
      <c r="G89" s="71" t="s">
        <v>25</v>
      </c>
      <c r="H89" s="71" t="s">
        <v>24</v>
      </c>
      <c r="I89" s="71" t="s">
        <v>23</v>
      </c>
      <c r="J89" s="71" t="s">
        <v>22</v>
      </c>
      <c r="K89" s="71" t="s">
        <v>28</v>
      </c>
      <c r="L89" s="71" t="s">
        <v>27</v>
      </c>
      <c r="M89" s="71" t="s">
        <v>26</v>
      </c>
      <c r="N89" s="71" t="s">
        <v>25</v>
      </c>
      <c r="O89" s="71" t="s">
        <v>24</v>
      </c>
      <c r="P89" s="71" t="s">
        <v>23</v>
      </c>
      <c r="Q89" s="71" t="s">
        <v>22</v>
      </c>
      <c r="R89" s="71" t="s">
        <v>28</v>
      </c>
      <c r="S89" s="71" t="s">
        <v>27</v>
      </c>
      <c r="T89" s="71" t="s">
        <v>26</v>
      </c>
      <c r="U89" s="71" t="s">
        <v>25</v>
      </c>
      <c r="V89" s="71" t="s">
        <v>24</v>
      </c>
      <c r="W89" s="71" t="s">
        <v>23</v>
      </c>
      <c r="X89" s="71" t="s">
        <v>22</v>
      </c>
      <c r="Y89" s="71" t="s">
        <v>28</v>
      </c>
      <c r="Z89" s="71" t="s">
        <v>27</v>
      </c>
      <c r="AA89" s="71" t="s">
        <v>26</v>
      </c>
      <c r="AB89" s="71" t="s">
        <v>25</v>
      </c>
      <c r="AC89" s="71" t="s">
        <v>24</v>
      </c>
      <c r="AD89" s="71" t="s">
        <v>23</v>
      </c>
      <c r="AE89" s="71" t="s">
        <v>22</v>
      </c>
      <c r="AF89" s="71" t="s">
        <v>28</v>
      </c>
      <c r="AG89" s="71" t="s">
        <v>27</v>
      </c>
      <c r="AH89" s="69" t="s">
        <v>26</v>
      </c>
      <c r="AI89" s="248" t="s">
        <v>21</v>
      </c>
      <c r="AJ89" s="250" t="s">
        <v>20</v>
      </c>
    </row>
    <row r="90" spans="1:36" ht="15.75" thickBot="1" x14ac:dyDescent="0.3">
      <c r="A90" s="241"/>
      <c r="B90" s="255"/>
      <c r="C90" s="290"/>
      <c r="D90" s="89">
        <v>1</v>
      </c>
      <c r="E90" s="67">
        <v>2</v>
      </c>
      <c r="F90" s="67">
        <v>3</v>
      </c>
      <c r="G90" s="67">
        <v>4</v>
      </c>
      <c r="H90" s="67">
        <v>5</v>
      </c>
      <c r="I90" s="67">
        <v>6</v>
      </c>
      <c r="J90" s="67">
        <v>7</v>
      </c>
      <c r="K90" s="67">
        <v>8</v>
      </c>
      <c r="L90" s="67">
        <v>9</v>
      </c>
      <c r="M90" s="67">
        <v>10</v>
      </c>
      <c r="N90" s="67">
        <v>11</v>
      </c>
      <c r="O90" s="67">
        <v>12</v>
      </c>
      <c r="P90" s="67">
        <v>13</v>
      </c>
      <c r="Q90" s="67">
        <v>14</v>
      </c>
      <c r="R90" s="67">
        <v>15</v>
      </c>
      <c r="S90" s="67">
        <v>16</v>
      </c>
      <c r="T90" s="67">
        <v>17</v>
      </c>
      <c r="U90" s="67">
        <v>18</v>
      </c>
      <c r="V90" s="67">
        <v>19</v>
      </c>
      <c r="W90" s="67">
        <v>20</v>
      </c>
      <c r="X90" s="67">
        <v>21</v>
      </c>
      <c r="Y90" s="67">
        <v>22</v>
      </c>
      <c r="Z90" s="67">
        <v>23</v>
      </c>
      <c r="AA90" s="67">
        <v>24</v>
      </c>
      <c r="AB90" s="67">
        <v>25</v>
      </c>
      <c r="AC90" s="67">
        <v>26</v>
      </c>
      <c r="AD90" s="67">
        <v>27</v>
      </c>
      <c r="AE90" s="67">
        <v>28</v>
      </c>
      <c r="AF90" s="67">
        <v>29</v>
      </c>
      <c r="AG90" s="67">
        <v>30</v>
      </c>
      <c r="AH90" s="65">
        <v>31</v>
      </c>
      <c r="AI90" s="292"/>
      <c r="AJ90" s="293"/>
    </row>
    <row r="91" spans="1:36" x14ac:dyDescent="0.25">
      <c r="A91" s="64" t="s">
        <v>19</v>
      </c>
      <c r="B91" s="63">
        <f t="shared" ref="B91:B110" si="22">AJ68</f>
        <v>19</v>
      </c>
      <c r="C91" s="290"/>
      <c r="D91" s="44" t="s">
        <v>31</v>
      </c>
      <c r="E91" s="43" t="s">
        <v>31</v>
      </c>
      <c r="F91" s="43" t="s">
        <v>31</v>
      </c>
      <c r="G91" s="42" t="s">
        <v>2</v>
      </c>
      <c r="H91" s="42" t="s">
        <v>2</v>
      </c>
      <c r="I91" s="42" t="s">
        <v>2</v>
      </c>
      <c r="J91" s="42" t="s">
        <v>2</v>
      </c>
      <c r="K91" s="42" t="s">
        <v>0</v>
      </c>
      <c r="L91" s="43" t="s">
        <v>2</v>
      </c>
      <c r="M91" s="43" t="s">
        <v>2</v>
      </c>
      <c r="N91" s="43" t="s">
        <v>2</v>
      </c>
      <c r="O91" s="43" t="s">
        <v>31</v>
      </c>
      <c r="P91" s="43" t="s">
        <v>2</v>
      </c>
      <c r="Q91" s="42" t="s">
        <v>0</v>
      </c>
      <c r="R91" s="42" t="s">
        <v>0</v>
      </c>
      <c r="S91" s="43" t="s">
        <v>2</v>
      </c>
      <c r="T91" s="43" t="s">
        <v>2</v>
      </c>
      <c r="U91" s="43" t="s">
        <v>2</v>
      </c>
      <c r="V91" s="43" t="s">
        <v>2</v>
      </c>
      <c r="W91" s="43" t="s">
        <v>2</v>
      </c>
      <c r="X91" s="42" t="s">
        <v>0</v>
      </c>
      <c r="Y91" s="42" t="s">
        <v>0</v>
      </c>
      <c r="Z91" s="43" t="s">
        <v>2</v>
      </c>
      <c r="AA91" s="43" t="s">
        <v>2</v>
      </c>
      <c r="AB91" s="43" t="s">
        <v>2</v>
      </c>
      <c r="AC91" s="43" t="s">
        <v>2</v>
      </c>
      <c r="AD91" s="43" t="s">
        <v>2</v>
      </c>
      <c r="AE91" s="42" t="s">
        <v>0</v>
      </c>
      <c r="AF91" s="42" t="s">
        <v>0</v>
      </c>
      <c r="AG91" s="43" t="s">
        <v>2</v>
      </c>
      <c r="AH91" s="43" t="s">
        <v>2</v>
      </c>
      <c r="AI91" s="61">
        <f t="shared" ref="AI91:AI110" si="23">COUNTIF(D91:AH91,"V")</f>
        <v>4</v>
      </c>
      <c r="AJ91" s="60">
        <f t="shared" ref="AJ91:AJ110" si="24">B91-AI91</f>
        <v>15</v>
      </c>
    </row>
    <row r="92" spans="1:36" ht="15.75" thickBot="1" x14ac:dyDescent="0.3">
      <c r="A92" s="57" t="s">
        <v>16</v>
      </c>
      <c r="B92" s="56">
        <f t="shared" si="22"/>
        <v>18</v>
      </c>
      <c r="C92" s="290"/>
      <c r="D92" s="110" t="s">
        <v>0</v>
      </c>
      <c r="E92" s="30" t="s">
        <v>2</v>
      </c>
      <c r="F92" s="30" t="s">
        <v>2</v>
      </c>
      <c r="G92" s="30" t="s">
        <v>2</v>
      </c>
      <c r="H92" s="30" t="s">
        <v>2</v>
      </c>
      <c r="I92" s="30" t="s">
        <v>2</v>
      </c>
      <c r="J92" s="28" t="s">
        <v>0</v>
      </c>
      <c r="K92" s="28" t="s">
        <v>0</v>
      </c>
      <c r="L92" s="30" t="s">
        <v>2</v>
      </c>
      <c r="M92" s="30" t="s">
        <v>2</v>
      </c>
      <c r="N92" s="30" t="s">
        <v>2</v>
      </c>
      <c r="O92" s="30" t="s">
        <v>2</v>
      </c>
      <c r="P92" s="30" t="s">
        <v>2</v>
      </c>
      <c r="Q92" s="28" t="s">
        <v>0</v>
      </c>
      <c r="R92" s="28" t="s">
        <v>0</v>
      </c>
      <c r="S92" s="30" t="s">
        <v>31</v>
      </c>
      <c r="T92" s="30" t="s">
        <v>31</v>
      </c>
      <c r="U92" s="30" t="s">
        <v>31</v>
      </c>
      <c r="V92" s="30" t="s">
        <v>31</v>
      </c>
      <c r="W92" s="30" t="s">
        <v>31</v>
      </c>
      <c r="X92" s="28" t="s">
        <v>0</v>
      </c>
      <c r="Y92" s="28" t="s">
        <v>0</v>
      </c>
      <c r="Z92" s="30" t="s">
        <v>31</v>
      </c>
      <c r="AA92" s="30" t="s">
        <v>31</v>
      </c>
      <c r="AB92" s="30" t="s">
        <v>2</v>
      </c>
      <c r="AC92" s="30" t="s">
        <v>2</v>
      </c>
      <c r="AD92" s="30" t="s">
        <v>2</v>
      </c>
      <c r="AE92" s="28" t="s">
        <v>0</v>
      </c>
      <c r="AF92" s="28" t="s">
        <v>0</v>
      </c>
      <c r="AG92" s="30" t="s">
        <v>2</v>
      </c>
      <c r="AH92" s="86" t="s">
        <v>2</v>
      </c>
      <c r="AI92" s="10">
        <f t="shared" ref="AI92:AI96" si="25">COUNTIF(D92:AH92,"V")</f>
        <v>7</v>
      </c>
      <c r="AJ92" s="9">
        <f t="shared" ref="AJ92:AJ96" si="26">B92-AI92</f>
        <v>11</v>
      </c>
    </row>
    <row r="93" spans="1:36" ht="15.75" thickBot="1" x14ac:dyDescent="0.3">
      <c r="A93" s="164" t="s">
        <v>36</v>
      </c>
      <c r="B93" s="165">
        <f t="shared" si="22"/>
        <v>27</v>
      </c>
      <c r="C93" s="290"/>
      <c r="D93" s="167" t="s">
        <v>0</v>
      </c>
      <c r="E93" s="30" t="s">
        <v>2</v>
      </c>
      <c r="F93" s="30" t="s">
        <v>2</v>
      </c>
      <c r="G93" s="30" t="s">
        <v>2</v>
      </c>
      <c r="H93" s="30" t="s">
        <v>2</v>
      </c>
      <c r="I93" s="30" t="s">
        <v>2</v>
      </c>
      <c r="J93" s="28" t="s">
        <v>0</v>
      </c>
      <c r="K93" s="28" t="s">
        <v>0</v>
      </c>
      <c r="L93" s="30" t="s">
        <v>2</v>
      </c>
      <c r="M93" s="30" t="s">
        <v>2</v>
      </c>
      <c r="N93" s="30" t="s">
        <v>2</v>
      </c>
      <c r="O93" s="30" t="s">
        <v>2</v>
      </c>
      <c r="P93" s="30" t="s">
        <v>2</v>
      </c>
      <c r="Q93" s="28" t="s">
        <v>0</v>
      </c>
      <c r="R93" s="28" t="s">
        <v>0</v>
      </c>
      <c r="S93" s="30" t="s">
        <v>2</v>
      </c>
      <c r="T93" s="30" t="s">
        <v>2</v>
      </c>
      <c r="U93" s="30" t="s">
        <v>2</v>
      </c>
      <c r="V93" s="30" t="s">
        <v>2</v>
      </c>
      <c r="W93" s="30" t="s">
        <v>2</v>
      </c>
      <c r="X93" s="28" t="s">
        <v>0</v>
      </c>
      <c r="Y93" s="28" t="s">
        <v>0</v>
      </c>
      <c r="Z93" s="30" t="s">
        <v>2</v>
      </c>
      <c r="AA93" s="30" t="s">
        <v>2</v>
      </c>
      <c r="AB93" s="30" t="s">
        <v>2</v>
      </c>
      <c r="AC93" s="30" t="s">
        <v>2</v>
      </c>
      <c r="AD93" s="30" t="s">
        <v>2</v>
      </c>
      <c r="AE93" s="28" t="s">
        <v>0</v>
      </c>
      <c r="AF93" s="28" t="s">
        <v>0</v>
      </c>
      <c r="AG93" s="30" t="s">
        <v>2</v>
      </c>
      <c r="AH93" s="30" t="s">
        <v>2</v>
      </c>
      <c r="AI93" s="10">
        <f t="shared" si="25"/>
        <v>0</v>
      </c>
      <c r="AJ93" s="9">
        <f t="shared" si="26"/>
        <v>27</v>
      </c>
    </row>
    <row r="94" spans="1:36" x14ac:dyDescent="0.25">
      <c r="A94" s="59" t="s">
        <v>17</v>
      </c>
      <c r="B94" s="58">
        <f t="shared" si="22"/>
        <v>22</v>
      </c>
      <c r="C94" s="290"/>
      <c r="D94" s="38" t="s">
        <v>2</v>
      </c>
      <c r="E94" s="35" t="s">
        <v>2</v>
      </c>
      <c r="F94" s="35" t="s">
        <v>0</v>
      </c>
      <c r="G94" s="35" t="s">
        <v>2</v>
      </c>
      <c r="H94" s="35" t="s">
        <v>2</v>
      </c>
      <c r="I94" s="35" t="s">
        <v>2</v>
      </c>
      <c r="J94" s="35" t="s">
        <v>2</v>
      </c>
      <c r="K94" s="35" t="s">
        <v>2</v>
      </c>
      <c r="L94" s="35" t="s">
        <v>0</v>
      </c>
      <c r="M94" s="35" t="s">
        <v>0</v>
      </c>
      <c r="N94" s="35" t="s">
        <v>2</v>
      </c>
      <c r="O94" s="35" t="s">
        <v>2</v>
      </c>
      <c r="P94" s="35" t="s">
        <v>2</v>
      </c>
      <c r="Q94" s="35" t="s">
        <v>2</v>
      </c>
      <c r="R94" s="35" t="s">
        <v>2</v>
      </c>
      <c r="S94" s="35" t="s">
        <v>0</v>
      </c>
      <c r="T94" s="35" t="s">
        <v>0</v>
      </c>
      <c r="U94" s="35" t="s">
        <v>2</v>
      </c>
      <c r="V94" s="35" t="s">
        <v>2</v>
      </c>
      <c r="W94" s="35" t="s">
        <v>2</v>
      </c>
      <c r="X94" s="35" t="s">
        <v>2</v>
      </c>
      <c r="Y94" s="35" t="s">
        <v>2</v>
      </c>
      <c r="Z94" s="35" t="s">
        <v>0</v>
      </c>
      <c r="AA94" s="35" t="s">
        <v>0</v>
      </c>
      <c r="AB94" s="35" t="s">
        <v>2</v>
      </c>
      <c r="AC94" s="35" t="s">
        <v>2</v>
      </c>
      <c r="AD94" s="35" t="s">
        <v>2</v>
      </c>
      <c r="AE94" s="35" t="s">
        <v>2</v>
      </c>
      <c r="AF94" s="35" t="s">
        <v>2</v>
      </c>
      <c r="AG94" s="35" t="s">
        <v>0</v>
      </c>
      <c r="AH94" s="87" t="s">
        <v>0</v>
      </c>
      <c r="AI94" s="10">
        <f t="shared" si="25"/>
        <v>0</v>
      </c>
      <c r="AJ94" s="9">
        <f t="shared" si="26"/>
        <v>22</v>
      </c>
    </row>
    <row r="95" spans="1:36" x14ac:dyDescent="0.25">
      <c r="A95" s="59" t="s">
        <v>18</v>
      </c>
      <c r="B95" s="58">
        <f t="shared" si="22"/>
        <v>23</v>
      </c>
      <c r="C95" s="290"/>
      <c r="D95" s="50" t="s">
        <v>2</v>
      </c>
      <c r="E95" s="36" t="s">
        <v>0</v>
      </c>
      <c r="F95" s="36" t="s">
        <v>0</v>
      </c>
      <c r="G95" s="35" t="s">
        <v>2</v>
      </c>
      <c r="H95" s="35" t="s">
        <v>2</v>
      </c>
      <c r="I95" s="35" t="s">
        <v>2</v>
      </c>
      <c r="J95" s="35" t="s">
        <v>2</v>
      </c>
      <c r="K95" s="35" t="s">
        <v>2</v>
      </c>
      <c r="L95" s="36" t="s">
        <v>0</v>
      </c>
      <c r="M95" s="36" t="s">
        <v>0</v>
      </c>
      <c r="N95" s="35" t="s">
        <v>2</v>
      </c>
      <c r="O95" s="35" t="s">
        <v>2</v>
      </c>
      <c r="P95" s="35" t="s">
        <v>2</v>
      </c>
      <c r="Q95" s="35" t="s">
        <v>2</v>
      </c>
      <c r="R95" s="35" t="s">
        <v>2</v>
      </c>
      <c r="S95" s="36" t="s">
        <v>0</v>
      </c>
      <c r="T95" s="36" t="s">
        <v>0</v>
      </c>
      <c r="U95" s="35" t="s">
        <v>2</v>
      </c>
      <c r="V95" s="35" t="s">
        <v>2</v>
      </c>
      <c r="W95" s="35" t="s">
        <v>2</v>
      </c>
      <c r="X95" s="35" t="s">
        <v>2</v>
      </c>
      <c r="Y95" s="35" t="s">
        <v>2</v>
      </c>
      <c r="Z95" s="36" t="s">
        <v>0</v>
      </c>
      <c r="AA95" s="36" t="s">
        <v>0</v>
      </c>
      <c r="AB95" s="35" t="s">
        <v>2</v>
      </c>
      <c r="AC95" s="35" t="s">
        <v>2</v>
      </c>
      <c r="AD95" s="35" t="s">
        <v>2</v>
      </c>
      <c r="AE95" s="35" t="s">
        <v>2</v>
      </c>
      <c r="AF95" s="35" t="s">
        <v>2</v>
      </c>
      <c r="AG95" s="36" t="s">
        <v>0</v>
      </c>
      <c r="AH95" s="82" t="s">
        <v>0</v>
      </c>
      <c r="AI95" s="10">
        <f t="shared" si="25"/>
        <v>0</v>
      </c>
      <c r="AJ95" s="9">
        <f t="shared" si="26"/>
        <v>23</v>
      </c>
    </row>
    <row r="96" spans="1:36" ht="15.75" thickBot="1" x14ac:dyDescent="0.3">
      <c r="A96" s="163" t="s">
        <v>37</v>
      </c>
      <c r="B96" s="58">
        <f t="shared" si="22"/>
        <v>25</v>
      </c>
      <c r="C96" s="290"/>
      <c r="D96" s="123" t="s">
        <v>0</v>
      </c>
      <c r="E96" s="121" t="s">
        <v>0</v>
      </c>
      <c r="F96" s="121" t="s">
        <v>2</v>
      </c>
      <c r="G96" s="121" t="s">
        <v>2</v>
      </c>
      <c r="H96" s="121" t="s">
        <v>2</v>
      </c>
      <c r="I96" s="121" t="s">
        <v>2</v>
      </c>
      <c r="J96" s="121" t="s">
        <v>2</v>
      </c>
      <c r="K96" s="121" t="s">
        <v>2</v>
      </c>
      <c r="L96" s="36" t="s">
        <v>0</v>
      </c>
      <c r="M96" s="36" t="s">
        <v>0</v>
      </c>
      <c r="N96" s="35" t="s">
        <v>2</v>
      </c>
      <c r="O96" s="35" t="s">
        <v>2</v>
      </c>
      <c r="P96" s="35" t="s">
        <v>2</v>
      </c>
      <c r="Q96" s="35" t="s">
        <v>2</v>
      </c>
      <c r="R96" s="35" t="s">
        <v>2</v>
      </c>
      <c r="S96" s="36" t="s">
        <v>0</v>
      </c>
      <c r="T96" s="36" t="s">
        <v>0</v>
      </c>
      <c r="U96" s="35" t="s">
        <v>2</v>
      </c>
      <c r="V96" s="35" t="s">
        <v>2</v>
      </c>
      <c r="W96" s="35" t="s">
        <v>2</v>
      </c>
      <c r="X96" s="35" t="s">
        <v>2</v>
      </c>
      <c r="Y96" s="35" t="s">
        <v>2</v>
      </c>
      <c r="Z96" s="36" t="s">
        <v>0</v>
      </c>
      <c r="AA96" s="36" t="s">
        <v>0</v>
      </c>
      <c r="AB96" s="35" t="s">
        <v>2</v>
      </c>
      <c r="AC96" s="35" t="s">
        <v>2</v>
      </c>
      <c r="AD96" s="35" t="s">
        <v>2</v>
      </c>
      <c r="AE96" s="35" t="s">
        <v>2</v>
      </c>
      <c r="AF96" s="35" t="s">
        <v>2</v>
      </c>
      <c r="AG96" s="36" t="s">
        <v>0</v>
      </c>
      <c r="AH96" s="36" t="s">
        <v>0</v>
      </c>
      <c r="AI96" s="10">
        <f t="shared" si="25"/>
        <v>0</v>
      </c>
      <c r="AJ96" s="9">
        <f t="shared" si="26"/>
        <v>25</v>
      </c>
    </row>
    <row r="97" spans="1:36" x14ac:dyDescent="0.25">
      <c r="A97" s="55" t="s">
        <v>15</v>
      </c>
      <c r="B97" s="54">
        <f t="shared" si="22"/>
        <v>24</v>
      </c>
      <c r="C97" s="290"/>
      <c r="D97" s="85" t="s">
        <v>0</v>
      </c>
      <c r="E97" s="43" t="s">
        <v>0</v>
      </c>
      <c r="F97" s="42" t="s">
        <v>2</v>
      </c>
      <c r="G97" s="42" t="s">
        <v>2</v>
      </c>
      <c r="H97" s="42" t="s">
        <v>2</v>
      </c>
      <c r="I97" s="42" t="s">
        <v>2</v>
      </c>
      <c r="J97" s="42" t="s">
        <v>2</v>
      </c>
      <c r="K97" s="43" t="s">
        <v>0</v>
      </c>
      <c r="L97" s="43" t="s">
        <v>0</v>
      </c>
      <c r="M97" s="42" t="s">
        <v>2</v>
      </c>
      <c r="N97" s="42" t="s">
        <v>2</v>
      </c>
      <c r="O97" s="42" t="s">
        <v>2</v>
      </c>
      <c r="P97" s="42" t="s">
        <v>2</v>
      </c>
      <c r="Q97" s="42" t="s">
        <v>2</v>
      </c>
      <c r="R97" s="43" t="s">
        <v>0</v>
      </c>
      <c r="S97" s="43" t="s">
        <v>0</v>
      </c>
      <c r="T97" s="42" t="s">
        <v>2</v>
      </c>
      <c r="U97" s="42" t="s">
        <v>2</v>
      </c>
      <c r="V97" s="42" t="s">
        <v>2</v>
      </c>
      <c r="W97" s="42" t="s">
        <v>2</v>
      </c>
      <c r="X97" s="42" t="s">
        <v>2</v>
      </c>
      <c r="Y97" s="43" t="s">
        <v>0</v>
      </c>
      <c r="Z97" s="43" t="s">
        <v>0</v>
      </c>
      <c r="AA97" s="42" t="s">
        <v>2</v>
      </c>
      <c r="AB97" s="42" t="s">
        <v>2</v>
      </c>
      <c r="AC97" s="42" t="s">
        <v>2</v>
      </c>
      <c r="AD97" s="42" t="s">
        <v>2</v>
      </c>
      <c r="AE97" s="42" t="s">
        <v>2</v>
      </c>
      <c r="AF97" s="43" t="s">
        <v>0</v>
      </c>
      <c r="AG97" s="43" t="s">
        <v>0</v>
      </c>
      <c r="AH97" s="84" t="s">
        <v>2</v>
      </c>
      <c r="AI97" s="10">
        <f t="shared" si="23"/>
        <v>0</v>
      </c>
      <c r="AJ97" s="9">
        <f t="shared" si="24"/>
        <v>24</v>
      </c>
    </row>
    <row r="98" spans="1:36" ht="14.25" customHeight="1" x14ac:dyDescent="0.25">
      <c r="A98" s="52" t="s">
        <v>14</v>
      </c>
      <c r="B98" s="51">
        <f t="shared" si="22"/>
        <v>26</v>
      </c>
      <c r="C98" s="290"/>
      <c r="D98" s="13" t="s">
        <v>31</v>
      </c>
      <c r="E98" s="13" t="s">
        <v>31</v>
      </c>
      <c r="F98" s="13" t="s">
        <v>31</v>
      </c>
      <c r="G98" s="13" t="s">
        <v>31</v>
      </c>
      <c r="H98" s="13" t="s">
        <v>31</v>
      </c>
      <c r="I98" s="13" t="s">
        <v>31</v>
      </c>
      <c r="J98" s="13" t="s">
        <v>31</v>
      </c>
      <c r="K98" s="36" t="s">
        <v>0</v>
      </c>
      <c r="L98" s="36" t="s">
        <v>0</v>
      </c>
      <c r="M98" s="35" t="s">
        <v>2</v>
      </c>
      <c r="N98" s="35" t="s">
        <v>2</v>
      </c>
      <c r="O98" s="35" t="s">
        <v>2</v>
      </c>
      <c r="P98" s="35" t="s">
        <v>2</v>
      </c>
      <c r="Q98" s="35" t="s">
        <v>2</v>
      </c>
      <c r="R98" s="36" t="s">
        <v>0</v>
      </c>
      <c r="S98" s="36" t="s">
        <v>0</v>
      </c>
      <c r="T98" s="35" t="s">
        <v>2</v>
      </c>
      <c r="U98" s="35" t="s">
        <v>2</v>
      </c>
      <c r="V98" s="35" t="s">
        <v>2</v>
      </c>
      <c r="W98" s="35" t="s">
        <v>2</v>
      </c>
      <c r="X98" s="35" t="s">
        <v>2</v>
      </c>
      <c r="Y98" s="36" t="s">
        <v>0</v>
      </c>
      <c r="Z98" s="36" t="s">
        <v>0</v>
      </c>
      <c r="AA98" s="35" t="s">
        <v>2</v>
      </c>
      <c r="AB98" s="35" t="s">
        <v>2</v>
      </c>
      <c r="AC98" s="35" t="s">
        <v>2</v>
      </c>
      <c r="AD98" s="35" t="s">
        <v>2</v>
      </c>
      <c r="AE98" s="35" t="s">
        <v>2</v>
      </c>
      <c r="AF98" s="36" t="s">
        <v>0</v>
      </c>
      <c r="AG98" s="36" t="s">
        <v>0</v>
      </c>
      <c r="AH98" s="87" t="s">
        <v>2</v>
      </c>
      <c r="AI98" s="10">
        <f t="shared" si="23"/>
        <v>7</v>
      </c>
      <c r="AJ98" s="9">
        <f t="shared" si="24"/>
        <v>19</v>
      </c>
    </row>
    <row r="99" spans="1:36" ht="15.75" thickBot="1" x14ac:dyDescent="0.3">
      <c r="A99" s="49" t="s">
        <v>13</v>
      </c>
      <c r="B99" s="48">
        <f t="shared" si="22"/>
        <v>20</v>
      </c>
      <c r="C99" s="290"/>
      <c r="D99" s="110" t="s">
        <v>0</v>
      </c>
      <c r="E99" s="28" t="s">
        <v>0</v>
      </c>
      <c r="F99" s="30" t="s">
        <v>2</v>
      </c>
      <c r="G99" s="30" t="s">
        <v>2</v>
      </c>
      <c r="H99" s="30" t="s">
        <v>2</v>
      </c>
      <c r="I99" s="30" t="s">
        <v>2</v>
      </c>
      <c r="J99" s="30" t="s">
        <v>2</v>
      </c>
      <c r="K99" s="28" t="s">
        <v>0</v>
      </c>
      <c r="L99" s="28" t="s">
        <v>0</v>
      </c>
      <c r="M99" s="30" t="s">
        <v>31</v>
      </c>
      <c r="N99" s="30" t="s">
        <v>31</v>
      </c>
      <c r="O99" s="30" t="s">
        <v>31</v>
      </c>
      <c r="P99" s="30" t="s">
        <v>31</v>
      </c>
      <c r="Q99" s="30" t="s">
        <v>31</v>
      </c>
      <c r="R99" s="30" t="s">
        <v>31</v>
      </c>
      <c r="S99" s="30" t="s">
        <v>31</v>
      </c>
      <c r="T99" s="30" t="s">
        <v>31</v>
      </c>
      <c r="U99" s="30" t="s">
        <v>31</v>
      </c>
      <c r="V99" s="30" t="s">
        <v>31</v>
      </c>
      <c r="W99" s="30" t="s">
        <v>31</v>
      </c>
      <c r="X99" s="30" t="s">
        <v>31</v>
      </c>
      <c r="Y99" s="28" t="s">
        <v>0</v>
      </c>
      <c r="Z99" s="28" t="s">
        <v>0</v>
      </c>
      <c r="AA99" s="30" t="s">
        <v>2</v>
      </c>
      <c r="AB99" s="30" t="s">
        <v>2</v>
      </c>
      <c r="AC99" s="30" t="s">
        <v>2</v>
      </c>
      <c r="AD99" s="30" t="s">
        <v>2</v>
      </c>
      <c r="AE99" s="30" t="s">
        <v>2</v>
      </c>
      <c r="AF99" s="28" t="s">
        <v>0</v>
      </c>
      <c r="AG99" s="28" t="s">
        <v>0</v>
      </c>
      <c r="AH99" s="86" t="s">
        <v>2</v>
      </c>
      <c r="AI99" s="10">
        <f t="shared" si="23"/>
        <v>12</v>
      </c>
      <c r="AJ99" s="9">
        <f t="shared" si="24"/>
        <v>8</v>
      </c>
    </row>
    <row r="100" spans="1:36" x14ac:dyDescent="0.25">
      <c r="A100" s="46" t="s">
        <v>12</v>
      </c>
      <c r="B100" s="45">
        <f t="shared" si="22"/>
        <v>45</v>
      </c>
      <c r="C100" s="290"/>
      <c r="D100" s="44" t="s">
        <v>31</v>
      </c>
      <c r="E100" s="41" t="s">
        <v>31</v>
      </c>
      <c r="F100" s="41" t="s">
        <v>31</v>
      </c>
      <c r="G100" s="41" t="s">
        <v>31</v>
      </c>
      <c r="H100" s="41" t="s">
        <v>31</v>
      </c>
      <c r="I100" s="41" t="s">
        <v>31</v>
      </c>
      <c r="J100" s="41" t="s">
        <v>31</v>
      </c>
      <c r="K100" s="41" t="s">
        <v>31</v>
      </c>
      <c r="L100" s="41" t="s">
        <v>31</v>
      </c>
      <c r="M100" s="41" t="s">
        <v>31</v>
      </c>
      <c r="N100" s="41" t="s">
        <v>31</v>
      </c>
      <c r="O100" s="41" t="s">
        <v>31</v>
      </c>
      <c r="P100" s="41" t="s">
        <v>31</v>
      </c>
      <c r="Q100" s="41" t="s">
        <v>31</v>
      </c>
      <c r="R100" s="41" t="s">
        <v>31</v>
      </c>
      <c r="S100" s="41" t="s">
        <v>31</v>
      </c>
      <c r="T100" s="41" t="s">
        <v>31</v>
      </c>
      <c r="U100" s="41" t="s">
        <v>31</v>
      </c>
      <c r="V100" s="41" t="s">
        <v>31</v>
      </c>
      <c r="W100" s="41" t="s">
        <v>31</v>
      </c>
      <c r="X100" s="41" t="s">
        <v>31</v>
      </c>
      <c r="Y100" s="41" t="s">
        <v>31</v>
      </c>
      <c r="Z100" s="41" t="s">
        <v>31</v>
      </c>
      <c r="AA100" s="23" t="s">
        <v>31</v>
      </c>
      <c r="AB100" s="23" t="s">
        <v>31</v>
      </c>
      <c r="AC100" s="23" t="s">
        <v>31</v>
      </c>
      <c r="AD100" s="23" t="s">
        <v>31</v>
      </c>
      <c r="AE100" s="23" t="s">
        <v>31</v>
      </c>
      <c r="AF100" s="23" t="s">
        <v>31</v>
      </c>
      <c r="AG100" s="23" t="s">
        <v>31</v>
      </c>
      <c r="AH100" s="109" t="s">
        <v>1</v>
      </c>
      <c r="AI100" s="10">
        <f t="shared" si="23"/>
        <v>30</v>
      </c>
      <c r="AJ100" s="9">
        <f t="shared" si="24"/>
        <v>15</v>
      </c>
    </row>
    <row r="101" spans="1:36" x14ac:dyDescent="0.25">
      <c r="A101" s="40" t="s">
        <v>11</v>
      </c>
      <c r="B101" s="39">
        <f t="shared" si="22"/>
        <v>32</v>
      </c>
      <c r="C101" s="290"/>
      <c r="D101" s="38" t="s">
        <v>0</v>
      </c>
      <c r="E101" s="37" t="s">
        <v>1</v>
      </c>
      <c r="F101" s="37" t="s">
        <v>1</v>
      </c>
      <c r="G101" s="37" t="s">
        <v>1</v>
      </c>
      <c r="H101" s="37" t="s">
        <v>1</v>
      </c>
      <c r="I101" s="37" t="s">
        <v>1</v>
      </c>
      <c r="J101" s="37" t="s">
        <v>1</v>
      </c>
      <c r="K101" s="36" t="s">
        <v>0</v>
      </c>
      <c r="L101" s="36" t="s">
        <v>0</v>
      </c>
      <c r="M101" s="36" t="s">
        <v>0</v>
      </c>
      <c r="N101" s="35" t="s">
        <v>2</v>
      </c>
      <c r="O101" s="35" t="s">
        <v>2</v>
      </c>
      <c r="P101" s="35" t="s">
        <v>2</v>
      </c>
      <c r="Q101" s="37" t="s">
        <v>1</v>
      </c>
      <c r="R101" s="37" t="s">
        <v>1</v>
      </c>
      <c r="S101" s="37" t="s">
        <v>1</v>
      </c>
      <c r="T101" s="36" t="s">
        <v>0</v>
      </c>
      <c r="U101" s="36" t="s">
        <v>0</v>
      </c>
      <c r="V101" s="36" t="s">
        <v>0</v>
      </c>
      <c r="W101" s="35" t="s">
        <v>2</v>
      </c>
      <c r="X101" s="35" t="s">
        <v>2</v>
      </c>
      <c r="Y101" s="35" t="s">
        <v>2</v>
      </c>
      <c r="Z101" s="37" t="s">
        <v>1</v>
      </c>
      <c r="AA101" s="37" t="s">
        <v>1</v>
      </c>
      <c r="AB101" s="37" t="s">
        <v>1</v>
      </c>
      <c r="AC101" s="36" t="s">
        <v>0</v>
      </c>
      <c r="AD101" s="36" t="s">
        <v>0</v>
      </c>
      <c r="AE101" s="36" t="s">
        <v>0</v>
      </c>
      <c r="AF101" s="35" t="s">
        <v>2</v>
      </c>
      <c r="AG101" s="35" t="s">
        <v>2</v>
      </c>
      <c r="AH101" s="87" t="s">
        <v>2</v>
      </c>
      <c r="AI101" s="10">
        <f t="shared" si="23"/>
        <v>0</v>
      </c>
      <c r="AJ101" s="9">
        <f t="shared" si="24"/>
        <v>32</v>
      </c>
    </row>
    <row r="102" spans="1:36" ht="15.75" thickBot="1" x14ac:dyDescent="0.3">
      <c r="A102" s="33" t="s">
        <v>10</v>
      </c>
      <c r="B102" s="32">
        <f t="shared" si="22"/>
        <v>19</v>
      </c>
      <c r="C102" s="290"/>
      <c r="D102" s="31" t="s">
        <v>1</v>
      </c>
      <c r="E102" s="28" t="s">
        <v>0</v>
      </c>
      <c r="F102" s="28" t="s">
        <v>0</v>
      </c>
      <c r="G102" s="28" t="s">
        <v>0</v>
      </c>
      <c r="H102" s="30" t="s">
        <v>2</v>
      </c>
      <c r="I102" s="30" t="s">
        <v>2</v>
      </c>
      <c r="J102" s="30" t="s">
        <v>2</v>
      </c>
      <c r="K102" s="29" t="s">
        <v>1</v>
      </c>
      <c r="L102" s="29" t="s">
        <v>1</v>
      </c>
      <c r="M102" s="29" t="s">
        <v>1</v>
      </c>
      <c r="N102" s="28" t="s">
        <v>0</v>
      </c>
      <c r="O102" s="28" t="s">
        <v>0</v>
      </c>
      <c r="P102" s="28" t="s">
        <v>0</v>
      </c>
      <c r="Q102" s="30" t="s">
        <v>2</v>
      </c>
      <c r="R102" s="30" t="s">
        <v>2</v>
      </c>
      <c r="S102" s="30" t="s">
        <v>2</v>
      </c>
      <c r="T102" s="29" t="s">
        <v>1</v>
      </c>
      <c r="U102" s="29" t="s">
        <v>1</v>
      </c>
      <c r="V102" s="29" t="s">
        <v>1</v>
      </c>
      <c r="W102" s="28" t="s">
        <v>0</v>
      </c>
      <c r="X102" s="28" t="s">
        <v>0</v>
      </c>
      <c r="Y102" s="28" t="s">
        <v>0</v>
      </c>
      <c r="Z102" s="30" t="s">
        <v>2</v>
      </c>
      <c r="AA102" s="30" t="s">
        <v>2</v>
      </c>
      <c r="AB102" s="30" t="s">
        <v>2</v>
      </c>
      <c r="AC102" s="29" t="s">
        <v>1</v>
      </c>
      <c r="AD102" s="29" t="s">
        <v>1</v>
      </c>
      <c r="AE102" s="29" t="s">
        <v>1</v>
      </c>
      <c r="AF102" s="28" t="s">
        <v>0</v>
      </c>
      <c r="AG102" s="28" t="s">
        <v>0</v>
      </c>
      <c r="AH102" s="104" t="s">
        <v>0</v>
      </c>
      <c r="AI102" s="10">
        <f t="shared" si="23"/>
        <v>0</v>
      </c>
      <c r="AJ102" s="9">
        <f t="shared" si="24"/>
        <v>19</v>
      </c>
    </row>
    <row r="103" spans="1:36" x14ac:dyDescent="0.25">
      <c r="A103" s="26" t="s">
        <v>9</v>
      </c>
      <c r="B103" s="25">
        <f t="shared" si="22"/>
        <v>42</v>
      </c>
      <c r="C103" s="290"/>
      <c r="D103" s="80" t="s">
        <v>2</v>
      </c>
      <c r="E103" s="23" t="s">
        <v>2</v>
      </c>
      <c r="F103" s="23" t="s">
        <v>2</v>
      </c>
      <c r="G103" s="23" t="s">
        <v>2</v>
      </c>
      <c r="H103" s="23" t="s">
        <v>2</v>
      </c>
      <c r="I103" s="23" t="s">
        <v>2</v>
      </c>
      <c r="J103" s="22" t="s">
        <v>0</v>
      </c>
      <c r="K103" s="22" t="s">
        <v>0</v>
      </c>
      <c r="L103" s="22" t="s">
        <v>0</v>
      </c>
      <c r="M103" s="23" t="s">
        <v>2</v>
      </c>
      <c r="N103" s="23" t="s">
        <v>2</v>
      </c>
      <c r="O103" s="23" t="s">
        <v>2</v>
      </c>
      <c r="P103" s="23" t="s">
        <v>2</v>
      </c>
      <c r="Q103" s="23" t="s">
        <v>2</v>
      </c>
      <c r="R103" s="23" t="s">
        <v>2</v>
      </c>
      <c r="S103" s="22" t="s">
        <v>0</v>
      </c>
      <c r="T103" s="22" t="s">
        <v>0</v>
      </c>
      <c r="U103" s="22" t="s">
        <v>0</v>
      </c>
      <c r="V103" s="23" t="s">
        <v>2</v>
      </c>
      <c r="W103" s="23" t="s">
        <v>2</v>
      </c>
      <c r="X103" s="23" t="s">
        <v>2</v>
      </c>
      <c r="Y103" s="23" t="s">
        <v>2</v>
      </c>
      <c r="Z103" s="23" t="s">
        <v>2</v>
      </c>
      <c r="AA103" s="23" t="s">
        <v>2</v>
      </c>
      <c r="AB103" s="22" t="s">
        <v>0</v>
      </c>
      <c r="AC103" s="22" t="s">
        <v>0</v>
      </c>
      <c r="AD103" s="22" t="s">
        <v>0</v>
      </c>
      <c r="AE103" s="23" t="s">
        <v>31</v>
      </c>
      <c r="AF103" s="23" t="s">
        <v>31</v>
      </c>
      <c r="AG103" s="23" t="s">
        <v>31</v>
      </c>
      <c r="AH103" s="101" t="s">
        <v>31</v>
      </c>
      <c r="AI103" s="10">
        <f t="shared" si="23"/>
        <v>4</v>
      </c>
      <c r="AJ103" s="9">
        <f t="shared" si="24"/>
        <v>38</v>
      </c>
    </row>
    <row r="104" spans="1:36" x14ac:dyDescent="0.25">
      <c r="A104" s="16" t="s">
        <v>7</v>
      </c>
      <c r="B104" s="15">
        <f t="shared" si="22"/>
        <v>32</v>
      </c>
      <c r="C104" s="290"/>
      <c r="D104" s="14" t="s">
        <v>0</v>
      </c>
      <c r="E104" s="13" t="s">
        <v>2</v>
      </c>
      <c r="F104" s="13" t="s">
        <v>2</v>
      </c>
      <c r="G104" s="13" t="s">
        <v>2</v>
      </c>
      <c r="H104" s="13" t="s">
        <v>2</v>
      </c>
      <c r="I104" s="13" t="s">
        <v>2</v>
      </c>
      <c r="J104" s="17" t="s">
        <v>0</v>
      </c>
      <c r="K104" s="17" t="s">
        <v>0</v>
      </c>
      <c r="L104" s="13" t="s">
        <v>2</v>
      </c>
      <c r="M104" s="13" t="s">
        <v>2</v>
      </c>
      <c r="N104" s="13" t="s">
        <v>2</v>
      </c>
      <c r="O104" s="13" t="s">
        <v>2</v>
      </c>
      <c r="P104" s="13" t="s">
        <v>2</v>
      </c>
      <c r="Q104" s="17" t="s">
        <v>0</v>
      </c>
      <c r="R104" s="17" t="s">
        <v>0</v>
      </c>
      <c r="S104" s="13" t="s">
        <v>2</v>
      </c>
      <c r="T104" s="13" t="s">
        <v>2</v>
      </c>
      <c r="U104" s="13" t="s">
        <v>2</v>
      </c>
      <c r="V104" s="13" t="s">
        <v>2</v>
      </c>
      <c r="W104" s="13" t="s">
        <v>2</v>
      </c>
      <c r="X104" s="17" t="s">
        <v>0</v>
      </c>
      <c r="Y104" s="17" t="s">
        <v>0</v>
      </c>
      <c r="Z104" s="13" t="s">
        <v>2</v>
      </c>
      <c r="AA104" s="13" t="s">
        <v>2</v>
      </c>
      <c r="AB104" s="13" t="s">
        <v>2</v>
      </c>
      <c r="AC104" s="13" t="s">
        <v>2</v>
      </c>
      <c r="AD104" s="13" t="s">
        <v>2</v>
      </c>
      <c r="AE104" s="17" t="s">
        <v>0</v>
      </c>
      <c r="AF104" s="17" t="s">
        <v>0</v>
      </c>
      <c r="AG104" s="13" t="s">
        <v>2</v>
      </c>
      <c r="AH104" s="77" t="s">
        <v>2</v>
      </c>
      <c r="AI104" s="10">
        <f t="shared" ref="AI104" si="27">COUNTIF(D104:AH104,"V")</f>
        <v>0</v>
      </c>
      <c r="AJ104" s="9">
        <f t="shared" ref="AJ104" si="28">B104-AI104</f>
        <v>32</v>
      </c>
    </row>
    <row r="105" spans="1:36" x14ac:dyDescent="0.25">
      <c r="A105" s="16" t="s">
        <v>8</v>
      </c>
      <c r="B105" s="15">
        <f t="shared" si="22"/>
        <v>44</v>
      </c>
      <c r="C105" s="290"/>
      <c r="D105" s="108" t="s">
        <v>2</v>
      </c>
      <c r="E105" s="12" t="s">
        <v>2</v>
      </c>
      <c r="F105" s="12" t="s">
        <v>2</v>
      </c>
      <c r="G105" s="12" t="s">
        <v>2</v>
      </c>
      <c r="H105" s="13" t="s">
        <v>0</v>
      </c>
      <c r="I105" s="13" t="s">
        <v>0</v>
      </c>
      <c r="J105" s="13" t="s">
        <v>0</v>
      </c>
      <c r="K105" s="12" t="s">
        <v>31</v>
      </c>
      <c r="L105" s="12" t="s">
        <v>31</v>
      </c>
      <c r="M105" s="12" t="s">
        <v>31</v>
      </c>
      <c r="N105" s="12" t="s">
        <v>31</v>
      </c>
      <c r="O105" s="12" t="s">
        <v>31</v>
      </c>
      <c r="P105" s="12" t="s">
        <v>31</v>
      </c>
      <c r="Q105" s="12" t="s">
        <v>31</v>
      </c>
      <c r="R105" s="12" t="s">
        <v>31</v>
      </c>
      <c r="S105" s="12" t="s">
        <v>31</v>
      </c>
      <c r="T105" s="12" t="s">
        <v>31</v>
      </c>
      <c r="U105" s="12" t="s">
        <v>31</v>
      </c>
      <c r="V105" s="12" t="s">
        <v>31</v>
      </c>
      <c r="W105" s="12" t="s">
        <v>31</v>
      </c>
      <c r="X105" s="12" t="s">
        <v>31</v>
      </c>
      <c r="Y105" s="12" t="s">
        <v>31</v>
      </c>
      <c r="Z105" s="12" t="s">
        <v>31</v>
      </c>
      <c r="AA105" s="12" t="s">
        <v>31</v>
      </c>
      <c r="AB105" s="12" t="s">
        <v>31</v>
      </c>
      <c r="AC105" s="12" t="s">
        <v>31</v>
      </c>
      <c r="AD105" s="12" t="s">
        <v>1</v>
      </c>
      <c r="AE105" s="12" t="s">
        <v>1</v>
      </c>
      <c r="AF105" s="12" t="s">
        <v>1</v>
      </c>
      <c r="AG105" s="12" t="s">
        <v>1</v>
      </c>
      <c r="AH105" s="100" t="s">
        <v>1</v>
      </c>
      <c r="AI105" s="10">
        <f t="shared" si="23"/>
        <v>19</v>
      </c>
      <c r="AJ105" s="9">
        <f t="shared" si="24"/>
        <v>25</v>
      </c>
    </row>
    <row r="106" spans="1:36" x14ac:dyDescent="0.25">
      <c r="A106" s="16" t="s">
        <v>33</v>
      </c>
      <c r="B106" s="15">
        <f t="shared" si="22"/>
        <v>42</v>
      </c>
      <c r="C106" s="290"/>
      <c r="D106" s="14" t="s">
        <v>1</v>
      </c>
      <c r="E106" s="13" t="s">
        <v>31</v>
      </c>
      <c r="F106" s="13" t="s">
        <v>31</v>
      </c>
      <c r="G106" s="13" t="s">
        <v>31</v>
      </c>
      <c r="H106" s="13" t="s">
        <v>0</v>
      </c>
      <c r="I106" s="13" t="s">
        <v>0</v>
      </c>
      <c r="J106" s="13" t="s">
        <v>0</v>
      </c>
      <c r="K106" s="17" t="s">
        <v>2</v>
      </c>
      <c r="L106" s="13" t="s">
        <v>2</v>
      </c>
      <c r="M106" s="13" t="s">
        <v>2</v>
      </c>
      <c r="N106" s="13" t="s">
        <v>2</v>
      </c>
      <c r="O106" s="13" t="s">
        <v>2</v>
      </c>
      <c r="P106" s="13" t="s">
        <v>2</v>
      </c>
      <c r="Q106" s="17" t="s">
        <v>0</v>
      </c>
      <c r="R106" s="17" t="s">
        <v>0</v>
      </c>
      <c r="S106" s="13" t="s">
        <v>0</v>
      </c>
      <c r="T106" s="13" t="s">
        <v>1</v>
      </c>
      <c r="U106" s="13" t="s">
        <v>1</v>
      </c>
      <c r="V106" s="13" t="s">
        <v>1</v>
      </c>
      <c r="W106" s="13" t="s">
        <v>1</v>
      </c>
      <c r="X106" s="13" t="s">
        <v>1</v>
      </c>
      <c r="Y106" s="13" t="s">
        <v>1</v>
      </c>
      <c r="Z106" s="13" t="s">
        <v>0</v>
      </c>
      <c r="AA106" s="13" t="s">
        <v>0</v>
      </c>
      <c r="AB106" s="13" t="s">
        <v>0</v>
      </c>
      <c r="AC106" s="13" t="s">
        <v>2</v>
      </c>
      <c r="AD106" s="13" t="s">
        <v>2</v>
      </c>
      <c r="AE106" s="13" t="s">
        <v>2</v>
      </c>
      <c r="AF106" s="13" t="s">
        <v>2</v>
      </c>
      <c r="AG106" s="13" t="s">
        <v>2</v>
      </c>
      <c r="AH106" s="13" t="s">
        <v>2</v>
      </c>
      <c r="AI106" s="10">
        <f t="shared" si="23"/>
        <v>3</v>
      </c>
      <c r="AJ106" s="9">
        <f t="shared" si="24"/>
        <v>39</v>
      </c>
    </row>
    <row r="107" spans="1:36" x14ac:dyDescent="0.25">
      <c r="A107" s="16" t="s">
        <v>6</v>
      </c>
      <c r="B107" s="15">
        <f t="shared" si="22"/>
        <v>37</v>
      </c>
      <c r="C107" s="290"/>
      <c r="D107" s="14" t="s">
        <v>0</v>
      </c>
      <c r="E107" s="13" t="s">
        <v>2</v>
      </c>
      <c r="F107" s="13" t="s">
        <v>2</v>
      </c>
      <c r="G107" s="13" t="s">
        <v>2</v>
      </c>
      <c r="H107" s="13" t="s">
        <v>2</v>
      </c>
      <c r="I107" s="13" t="s">
        <v>2</v>
      </c>
      <c r="J107" s="13" t="s">
        <v>2</v>
      </c>
      <c r="K107" s="13" t="s">
        <v>0</v>
      </c>
      <c r="L107" s="13" t="s">
        <v>0</v>
      </c>
      <c r="M107" s="13" t="s">
        <v>0</v>
      </c>
      <c r="N107" s="17" t="s">
        <v>1</v>
      </c>
      <c r="O107" s="17" t="s">
        <v>1</v>
      </c>
      <c r="P107" s="17" t="s">
        <v>1</v>
      </c>
      <c r="Q107" s="17" t="s">
        <v>1</v>
      </c>
      <c r="R107" s="17" t="s">
        <v>1</v>
      </c>
      <c r="S107" s="17" t="s">
        <v>0</v>
      </c>
      <c r="T107" s="17" t="s">
        <v>0</v>
      </c>
      <c r="U107" s="17" t="s">
        <v>0</v>
      </c>
      <c r="V107" s="17" t="s">
        <v>0</v>
      </c>
      <c r="W107" s="13" t="s">
        <v>2</v>
      </c>
      <c r="X107" s="13" t="s">
        <v>2</v>
      </c>
      <c r="Y107" s="13" t="s">
        <v>2</v>
      </c>
      <c r="Z107" s="13" t="s">
        <v>2</v>
      </c>
      <c r="AA107" s="13" t="s">
        <v>2</v>
      </c>
      <c r="AB107" s="13" t="s">
        <v>2</v>
      </c>
      <c r="AC107" s="13" t="s">
        <v>0</v>
      </c>
      <c r="AD107" s="13" t="s">
        <v>0</v>
      </c>
      <c r="AE107" s="13" t="s">
        <v>0</v>
      </c>
      <c r="AF107" s="17" t="s">
        <v>1</v>
      </c>
      <c r="AG107" s="17" t="s">
        <v>1</v>
      </c>
      <c r="AH107" s="78" t="s">
        <v>1</v>
      </c>
      <c r="AI107" s="10">
        <f t="shared" si="23"/>
        <v>0</v>
      </c>
      <c r="AJ107" s="9">
        <f t="shared" si="24"/>
        <v>37</v>
      </c>
    </row>
    <row r="108" spans="1:36" x14ac:dyDescent="0.25">
      <c r="A108" s="16" t="s">
        <v>5</v>
      </c>
      <c r="B108" s="15">
        <f t="shared" si="22"/>
        <v>31</v>
      </c>
      <c r="C108" s="290"/>
      <c r="D108" s="14" t="s">
        <v>0</v>
      </c>
      <c r="E108" s="13" t="s">
        <v>1</v>
      </c>
      <c r="F108" s="13" t="s">
        <v>1</v>
      </c>
      <c r="G108" s="13" t="s">
        <v>1</v>
      </c>
      <c r="H108" s="13" t="s">
        <v>1</v>
      </c>
      <c r="I108" s="13" t="s">
        <v>1</v>
      </c>
      <c r="J108" s="13" t="s">
        <v>1</v>
      </c>
      <c r="K108" s="13" t="s">
        <v>0</v>
      </c>
      <c r="L108" s="13" t="s">
        <v>0</v>
      </c>
      <c r="M108" s="13" t="s">
        <v>0</v>
      </c>
      <c r="N108" s="13" t="s">
        <v>2</v>
      </c>
      <c r="O108" s="13" t="s">
        <v>2</v>
      </c>
      <c r="P108" s="13" t="s">
        <v>2</v>
      </c>
      <c r="Q108" s="13" t="s">
        <v>2</v>
      </c>
      <c r="R108" s="13" t="s">
        <v>2</v>
      </c>
      <c r="S108" s="13" t="s">
        <v>2</v>
      </c>
      <c r="T108" s="17" t="s">
        <v>0</v>
      </c>
      <c r="U108" s="17" t="s">
        <v>0</v>
      </c>
      <c r="V108" s="17" t="s">
        <v>0</v>
      </c>
      <c r="W108" s="12" t="s">
        <v>1</v>
      </c>
      <c r="X108" s="12" t="s">
        <v>1</v>
      </c>
      <c r="Y108" s="12" t="s">
        <v>1</v>
      </c>
      <c r="Z108" s="12" t="s">
        <v>1</v>
      </c>
      <c r="AA108" s="12" t="s">
        <v>1</v>
      </c>
      <c r="AB108" s="12" t="s">
        <v>1</v>
      </c>
      <c r="AC108" s="13" t="s">
        <v>0</v>
      </c>
      <c r="AD108" s="13" t="s">
        <v>0</v>
      </c>
      <c r="AE108" s="13" t="s">
        <v>0</v>
      </c>
      <c r="AF108" s="13" t="s">
        <v>2</v>
      </c>
      <c r="AG108" s="13" t="s">
        <v>2</v>
      </c>
      <c r="AH108" s="77" t="s">
        <v>2</v>
      </c>
      <c r="AI108" s="10">
        <f t="shared" si="23"/>
        <v>0</v>
      </c>
      <c r="AJ108" s="9">
        <f t="shared" si="24"/>
        <v>31</v>
      </c>
    </row>
    <row r="109" spans="1:36" x14ac:dyDescent="0.25">
      <c r="A109" s="16" t="s">
        <v>4</v>
      </c>
      <c r="B109" s="15">
        <f t="shared" si="22"/>
        <v>30</v>
      </c>
      <c r="C109" s="290"/>
      <c r="D109" s="14" t="s">
        <v>2</v>
      </c>
      <c r="E109" s="13" t="s">
        <v>0</v>
      </c>
      <c r="F109" s="13" t="s">
        <v>0</v>
      </c>
      <c r="G109" s="13" t="s">
        <v>0</v>
      </c>
      <c r="H109" s="13" t="s">
        <v>31</v>
      </c>
      <c r="I109" s="13" t="s">
        <v>31</v>
      </c>
      <c r="J109" s="13" t="s">
        <v>31</v>
      </c>
      <c r="K109" s="13" t="s">
        <v>1</v>
      </c>
      <c r="L109" s="13" t="s">
        <v>1</v>
      </c>
      <c r="M109" s="13" t="s">
        <v>1</v>
      </c>
      <c r="N109" s="13" t="s">
        <v>0</v>
      </c>
      <c r="O109" s="13" t="s">
        <v>0</v>
      </c>
      <c r="P109" s="13" t="s">
        <v>0</v>
      </c>
      <c r="Q109" s="12" t="s">
        <v>2</v>
      </c>
      <c r="R109" s="12" t="s">
        <v>2</v>
      </c>
      <c r="S109" s="12" t="s">
        <v>2</v>
      </c>
      <c r="T109" s="12" t="s">
        <v>2</v>
      </c>
      <c r="U109" s="12" t="s">
        <v>2</v>
      </c>
      <c r="V109" s="12" t="s">
        <v>2</v>
      </c>
      <c r="W109" s="13" t="s">
        <v>0</v>
      </c>
      <c r="X109" s="13" t="s">
        <v>0</v>
      </c>
      <c r="Y109" s="13" t="s">
        <v>0</v>
      </c>
      <c r="Z109" s="13" t="s">
        <v>1</v>
      </c>
      <c r="AA109" s="13" t="s">
        <v>1</v>
      </c>
      <c r="AB109" s="13" t="s">
        <v>1</v>
      </c>
      <c r="AC109" s="13" t="s">
        <v>1</v>
      </c>
      <c r="AD109" s="13" t="s">
        <v>1</v>
      </c>
      <c r="AE109" s="13" t="s">
        <v>1</v>
      </c>
      <c r="AF109" s="13" t="s">
        <v>0</v>
      </c>
      <c r="AG109" s="13" t="s">
        <v>0</v>
      </c>
      <c r="AH109" s="77" t="s">
        <v>0</v>
      </c>
      <c r="AI109" s="10">
        <f t="shared" si="23"/>
        <v>3</v>
      </c>
      <c r="AJ109" s="9">
        <f t="shared" si="24"/>
        <v>27</v>
      </c>
    </row>
    <row r="110" spans="1:36" ht="15.75" thickBot="1" x14ac:dyDescent="0.3">
      <c r="A110" s="8" t="s">
        <v>3</v>
      </c>
      <c r="B110" s="7">
        <f t="shared" si="22"/>
        <v>31</v>
      </c>
      <c r="C110" s="291"/>
      <c r="D110" s="75" t="s">
        <v>31</v>
      </c>
      <c r="E110" s="4" t="s">
        <v>0</v>
      </c>
      <c r="F110" s="4" t="s">
        <v>0</v>
      </c>
      <c r="G110" s="4" t="s">
        <v>0</v>
      </c>
      <c r="H110" s="5" t="s">
        <v>2</v>
      </c>
      <c r="I110" s="5" t="s">
        <v>2</v>
      </c>
      <c r="J110" s="5" t="s">
        <v>2</v>
      </c>
      <c r="K110" s="5" t="s">
        <v>2</v>
      </c>
      <c r="L110" s="5" t="s">
        <v>2</v>
      </c>
      <c r="M110" s="5" t="s">
        <v>2</v>
      </c>
      <c r="N110" s="5" t="s">
        <v>0</v>
      </c>
      <c r="O110" s="5" t="s">
        <v>0</v>
      </c>
      <c r="P110" s="5" t="s">
        <v>0</v>
      </c>
      <c r="Q110" s="5" t="s">
        <v>1</v>
      </c>
      <c r="R110" s="5" t="s">
        <v>1</v>
      </c>
      <c r="S110" s="5" t="s">
        <v>1</v>
      </c>
      <c r="T110" s="5" t="s">
        <v>1</v>
      </c>
      <c r="U110" s="5" t="s">
        <v>1</v>
      </c>
      <c r="V110" s="5" t="s">
        <v>1</v>
      </c>
      <c r="W110" s="4" t="s">
        <v>0</v>
      </c>
      <c r="X110" s="4" t="s">
        <v>0</v>
      </c>
      <c r="Y110" s="4" t="s">
        <v>0</v>
      </c>
      <c r="Z110" s="5" t="s">
        <v>2</v>
      </c>
      <c r="AA110" s="5" t="s">
        <v>2</v>
      </c>
      <c r="AB110" s="5" t="s">
        <v>2</v>
      </c>
      <c r="AC110" s="5" t="s">
        <v>38</v>
      </c>
      <c r="AD110" s="5" t="s">
        <v>38</v>
      </c>
      <c r="AE110" s="5" t="s">
        <v>38</v>
      </c>
      <c r="AF110" s="5" t="s">
        <v>0</v>
      </c>
      <c r="AG110" s="5" t="s">
        <v>0</v>
      </c>
      <c r="AH110" s="96" t="s">
        <v>0</v>
      </c>
      <c r="AI110" s="2">
        <f t="shared" si="23"/>
        <v>1</v>
      </c>
      <c r="AJ110" s="1">
        <f t="shared" si="24"/>
        <v>30</v>
      </c>
    </row>
    <row r="111" spans="1:36" ht="21.75" thickBot="1" x14ac:dyDescent="0.3">
      <c r="A111" s="91"/>
      <c r="B111" s="91"/>
      <c r="C111" s="93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1"/>
      <c r="AJ111" s="91"/>
    </row>
    <row r="112" spans="1:36" ht="15" customHeight="1" x14ac:dyDescent="0.25">
      <c r="A112" s="240" t="s">
        <v>30</v>
      </c>
      <c r="B112" s="242" t="s">
        <v>29</v>
      </c>
      <c r="C112" s="282">
        <v>45901</v>
      </c>
      <c r="D112" s="90" t="s">
        <v>25</v>
      </c>
      <c r="E112" s="71" t="s">
        <v>24</v>
      </c>
      <c r="F112" s="71" t="s">
        <v>23</v>
      </c>
      <c r="G112" s="71" t="s">
        <v>22</v>
      </c>
      <c r="H112" s="71" t="s">
        <v>28</v>
      </c>
      <c r="I112" s="71" t="s">
        <v>27</v>
      </c>
      <c r="J112" s="71" t="s">
        <v>26</v>
      </c>
      <c r="K112" s="71" t="s">
        <v>25</v>
      </c>
      <c r="L112" s="71" t="s">
        <v>24</v>
      </c>
      <c r="M112" s="71" t="s">
        <v>23</v>
      </c>
      <c r="N112" s="71" t="s">
        <v>22</v>
      </c>
      <c r="O112" s="71" t="s">
        <v>28</v>
      </c>
      <c r="P112" s="71" t="s">
        <v>27</v>
      </c>
      <c r="Q112" s="71" t="s">
        <v>26</v>
      </c>
      <c r="R112" s="71" t="s">
        <v>25</v>
      </c>
      <c r="S112" s="71" t="s">
        <v>24</v>
      </c>
      <c r="T112" s="71" t="s">
        <v>23</v>
      </c>
      <c r="U112" s="71" t="s">
        <v>22</v>
      </c>
      <c r="V112" s="71" t="s">
        <v>28</v>
      </c>
      <c r="W112" s="71" t="s">
        <v>27</v>
      </c>
      <c r="X112" s="71" t="s">
        <v>26</v>
      </c>
      <c r="Y112" s="71" t="s">
        <v>25</v>
      </c>
      <c r="Z112" s="71" t="s">
        <v>24</v>
      </c>
      <c r="AA112" s="71" t="s">
        <v>23</v>
      </c>
      <c r="AB112" s="71" t="s">
        <v>22</v>
      </c>
      <c r="AC112" s="71" t="s">
        <v>28</v>
      </c>
      <c r="AD112" s="71" t="s">
        <v>27</v>
      </c>
      <c r="AE112" s="71" t="s">
        <v>26</v>
      </c>
      <c r="AF112" s="71" t="s">
        <v>25</v>
      </c>
      <c r="AG112" s="70" t="s">
        <v>24</v>
      </c>
      <c r="AH112" s="287"/>
      <c r="AI112" s="248" t="s">
        <v>21</v>
      </c>
      <c r="AJ112" s="250" t="s">
        <v>20</v>
      </c>
    </row>
    <row r="113" spans="1:36" ht="15.75" thickBot="1" x14ac:dyDescent="0.3">
      <c r="A113" s="241"/>
      <c r="B113" s="243"/>
      <c r="C113" s="283"/>
      <c r="D113" s="89">
        <v>1</v>
      </c>
      <c r="E113" s="67">
        <v>2</v>
      </c>
      <c r="F113" s="67">
        <v>3</v>
      </c>
      <c r="G113" s="67">
        <v>4</v>
      </c>
      <c r="H113" s="67">
        <v>5</v>
      </c>
      <c r="I113" s="67">
        <v>6</v>
      </c>
      <c r="J113" s="67">
        <v>7</v>
      </c>
      <c r="K113" s="67">
        <v>8</v>
      </c>
      <c r="L113" s="67">
        <v>9</v>
      </c>
      <c r="M113" s="67">
        <v>10</v>
      </c>
      <c r="N113" s="67">
        <v>11</v>
      </c>
      <c r="O113" s="67">
        <v>12</v>
      </c>
      <c r="P113" s="67">
        <v>13</v>
      </c>
      <c r="Q113" s="67">
        <v>14</v>
      </c>
      <c r="R113" s="67">
        <v>15</v>
      </c>
      <c r="S113" s="67">
        <v>16</v>
      </c>
      <c r="T113" s="67">
        <v>17</v>
      </c>
      <c r="U113" s="67">
        <v>18</v>
      </c>
      <c r="V113" s="67">
        <v>19</v>
      </c>
      <c r="W113" s="67">
        <v>20</v>
      </c>
      <c r="X113" s="67">
        <v>21</v>
      </c>
      <c r="Y113" s="67">
        <v>22</v>
      </c>
      <c r="Z113" s="67">
        <v>23</v>
      </c>
      <c r="AA113" s="67">
        <v>24</v>
      </c>
      <c r="AB113" s="67">
        <v>25</v>
      </c>
      <c r="AC113" s="67">
        <v>26</v>
      </c>
      <c r="AD113" s="67">
        <v>27</v>
      </c>
      <c r="AE113" s="67">
        <v>28</v>
      </c>
      <c r="AF113" s="67">
        <v>29</v>
      </c>
      <c r="AG113" s="66">
        <v>30</v>
      </c>
      <c r="AH113" s="288"/>
      <c r="AI113" s="249"/>
      <c r="AJ113" s="251"/>
    </row>
    <row r="114" spans="1:36" x14ac:dyDescent="0.25">
      <c r="A114" s="64" t="s">
        <v>19</v>
      </c>
      <c r="B114" s="63">
        <f t="shared" ref="B114:B131" si="29">AJ91</f>
        <v>15</v>
      </c>
      <c r="C114" s="283"/>
      <c r="D114" s="44" t="s">
        <v>2</v>
      </c>
      <c r="E114" s="42" t="s">
        <v>2</v>
      </c>
      <c r="F114" s="42" t="s">
        <v>2</v>
      </c>
      <c r="G114" s="42" t="s">
        <v>0</v>
      </c>
      <c r="H114" s="42" t="s">
        <v>0</v>
      </c>
      <c r="I114" s="43" t="s">
        <v>2</v>
      </c>
      <c r="J114" s="43" t="s">
        <v>2</v>
      </c>
      <c r="K114" s="42" t="s">
        <v>2</v>
      </c>
      <c r="L114" s="42" t="s">
        <v>2</v>
      </c>
      <c r="M114" s="42" t="s">
        <v>2</v>
      </c>
      <c r="N114" s="42" t="s">
        <v>0</v>
      </c>
      <c r="O114" s="42" t="s">
        <v>0</v>
      </c>
      <c r="P114" s="43" t="s">
        <v>2</v>
      </c>
      <c r="Q114" s="43" t="s">
        <v>2</v>
      </c>
      <c r="R114" s="42" t="s">
        <v>2</v>
      </c>
      <c r="S114" s="42" t="s">
        <v>2</v>
      </c>
      <c r="T114" s="42" t="s">
        <v>2</v>
      </c>
      <c r="U114" s="42" t="s">
        <v>0</v>
      </c>
      <c r="V114" s="42" t="s">
        <v>0</v>
      </c>
      <c r="W114" s="43" t="s">
        <v>2</v>
      </c>
      <c r="X114" s="43" t="s">
        <v>2</v>
      </c>
      <c r="Y114" s="42" t="s">
        <v>2</v>
      </c>
      <c r="Z114" s="42" t="s">
        <v>2</v>
      </c>
      <c r="AA114" s="42" t="s">
        <v>2</v>
      </c>
      <c r="AB114" s="42" t="s">
        <v>0</v>
      </c>
      <c r="AC114" s="42" t="s">
        <v>0</v>
      </c>
      <c r="AD114" s="43" t="s">
        <v>2</v>
      </c>
      <c r="AE114" s="43" t="s">
        <v>2</v>
      </c>
      <c r="AF114" s="42" t="s">
        <v>2</v>
      </c>
      <c r="AG114" s="42" t="s">
        <v>2</v>
      </c>
      <c r="AH114" s="288"/>
      <c r="AI114" s="88">
        <f t="shared" ref="AI114:AI131" si="30">COUNTIF(D114:AG114,"V")</f>
        <v>0</v>
      </c>
      <c r="AJ114" s="60">
        <f t="shared" ref="AJ114:AJ131" si="31">B114-AI114</f>
        <v>15</v>
      </c>
    </row>
    <row r="115" spans="1:36" ht="15.75" thickBot="1" x14ac:dyDescent="0.3">
      <c r="A115" s="57" t="s">
        <v>16</v>
      </c>
      <c r="B115" s="56">
        <f t="shared" si="29"/>
        <v>11</v>
      </c>
      <c r="C115" s="283"/>
      <c r="D115" s="47" t="s">
        <v>2</v>
      </c>
      <c r="E115" s="30" t="s">
        <v>2</v>
      </c>
      <c r="F115" s="30" t="s">
        <v>2</v>
      </c>
      <c r="G115" s="28" t="s">
        <v>0</v>
      </c>
      <c r="H115" s="28" t="s">
        <v>0</v>
      </c>
      <c r="I115" s="30" t="s">
        <v>2</v>
      </c>
      <c r="J115" s="30" t="s">
        <v>2</v>
      </c>
      <c r="K115" s="30" t="s">
        <v>2</v>
      </c>
      <c r="L115" s="30" t="s">
        <v>2</v>
      </c>
      <c r="M115" s="30" t="s">
        <v>2</v>
      </c>
      <c r="N115" s="28" t="s">
        <v>0</v>
      </c>
      <c r="O115" s="28" t="s">
        <v>0</v>
      </c>
      <c r="P115" s="30" t="s">
        <v>2</v>
      </c>
      <c r="Q115" s="30" t="s">
        <v>2</v>
      </c>
      <c r="R115" s="30" t="s">
        <v>2</v>
      </c>
      <c r="S115" s="30" t="s">
        <v>2</v>
      </c>
      <c r="T115" s="30" t="s">
        <v>2</v>
      </c>
      <c r="U115" s="28" t="s">
        <v>0</v>
      </c>
      <c r="V115" s="28" t="s">
        <v>0</v>
      </c>
      <c r="W115" s="30" t="s">
        <v>2</v>
      </c>
      <c r="X115" s="30" t="s">
        <v>2</v>
      </c>
      <c r="Y115" s="30" t="s">
        <v>2</v>
      </c>
      <c r="Z115" s="30" t="s">
        <v>2</v>
      </c>
      <c r="AA115" s="30" t="s">
        <v>2</v>
      </c>
      <c r="AB115" s="28" t="s">
        <v>0</v>
      </c>
      <c r="AC115" s="28" t="s">
        <v>0</v>
      </c>
      <c r="AD115" s="30" t="s">
        <v>2</v>
      </c>
      <c r="AE115" s="30" t="s">
        <v>2</v>
      </c>
      <c r="AF115" s="30" t="s">
        <v>2</v>
      </c>
      <c r="AG115" s="86" t="s">
        <v>2</v>
      </c>
      <c r="AH115" s="288"/>
      <c r="AI115" s="76">
        <f t="shared" ref="AI115:AI119" si="32">COUNTIF(D115:AG115,"V")</f>
        <v>0</v>
      </c>
      <c r="AJ115" s="9">
        <f t="shared" ref="AJ115:AJ119" si="33">B115-AI115</f>
        <v>11</v>
      </c>
    </row>
    <row r="116" spans="1:36" ht="15.75" thickBot="1" x14ac:dyDescent="0.3">
      <c r="A116" s="164" t="s">
        <v>36</v>
      </c>
      <c r="B116" s="56">
        <f t="shared" si="29"/>
        <v>27</v>
      </c>
      <c r="C116" s="283"/>
      <c r="D116" s="47" t="s">
        <v>2</v>
      </c>
      <c r="E116" s="30" t="s">
        <v>2</v>
      </c>
      <c r="F116" s="30" t="s">
        <v>2</v>
      </c>
      <c r="G116" s="28" t="s">
        <v>0</v>
      </c>
      <c r="H116" s="28" t="s">
        <v>0</v>
      </c>
      <c r="I116" s="30" t="s">
        <v>2</v>
      </c>
      <c r="J116" s="30" t="s">
        <v>2</v>
      </c>
      <c r="K116" s="30" t="s">
        <v>2</v>
      </c>
      <c r="L116" s="30" t="s">
        <v>2</v>
      </c>
      <c r="M116" s="30" t="s">
        <v>2</v>
      </c>
      <c r="N116" s="28" t="s">
        <v>0</v>
      </c>
      <c r="O116" s="28" t="s">
        <v>0</v>
      </c>
      <c r="P116" s="30" t="s">
        <v>2</v>
      </c>
      <c r="Q116" s="30" t="s">
        <v>2</v>
      </c>
      <c r="R116" s="30" t="s">
        <v>2</v>
      </c>
      <c r="S116" s="30" t="s">
        <v>2</v>
      </c>
      <c r="T116" s="30" t="s">
        <v>2</v>
      </c>
      <c r="U116" s="28" t="s">
        <v>0</v>
      </c>
      <c r="V116" s="28" t="s">
        <v>0</v>
      </c>
      <c r="W116" s="30" t="s">
        <v>2</v>
      </c>
      <c r="X116" s="30" t="s">
        <v>2</v>
      </c>
      <c r="Y116" s="30" t="s">
        <v>2</v>
      </c>
      <c r="Z116" s="30" t="s">
        <v>2</v>
      </c>
      <c r="AA116" s="30" t="s">
        <v>2</v>
      </c>
      <c r="AB116" s="28" t="s">
        <v>0</v>
      </c>
      <c r="AC116" s="28" t="s">
        <v>0</v>
      </c>
      <c r="AD116" s="30" t="s">
        <v>2</v>
      </c>
      <c r="AE116" s="30" t="s">
        <v>2</v>
      </c>
      <c r="AF116" s="30" t="s">
        <v>2</v>
      </c>
      <c r="AG116" s="86" t="s">
        <v>2</v>
      </c>
      <c r="AH116" s="288"/>
      <c r="AI116" s="76">
        <f t="shared" si="32"/>
        <v>0</v>
      </c>
      <c r="AJ116" s="9">
        <f t="shared" si="33"/>
        <v>27</v>
      </c>
    </row>
    <row r="117" spans="1:36" x14ac:dyDescent="0.25">
      <c r="A117" s="59" t="s">
        <v>17</v>
      </c>
      <c r="B117" s="58">
        <f t="shared" si="29"/>
        <v>22</v>
      </c>
      <c r="C117" s="283"/>
      <c r="D117" s="50" t="s">
        <v>2</v>
      </c>
      <c r="E117" s="35" t="s">
        <v>2</v>
      </c>
      <c r="F117" s="35" t="s">
        <v>2</v>
      </c>
      <c r="G117" s="35" t="s">
        <v>2</v>
      </c>
      <c r="H117" s="35" t="s">
        <v>2</v>
      </c>
      <c r="I117" s="36" t="s">
        <v>0</v>
      </c>
      <c r="J117" s="36" t="s">
        <v>0</v>
      </c>
      <c r="K117" s="35" t="s">
        <v>2</v>
      </c>
      <c r="L117" s="35" t="s">
        <v>2</v>
      </c>
      <c r="M117" s="35" t="s">
        <v>2</v>
      </c>
      <c r="N117" s="35" t="s">
        <v>2</v>
      </c>
      <c r="O117" s="35" t="s">
        <v>2</v>
      </c>
      <c r="P117" s="36" t="s">
        <v>0</v>
      </c>
      <c r="Q117" s="36" t="s">
        <v>0</v>
      </c>
      <c r="R117" s="35" t="s">
        <v>2</v>
      </c>
      <c r="S117" s="35" t="s">
        <v>2</v>
      </c>
      <c r="T117" s="35" t="s">
        <v>2</v>
      </c>
      <c r="U117" s="35" t="s">
        <v>2</v>
      </c>
      <c r="V117" s="35" t="s">
        <v>2</v>
      </c>
      <c r="W117" s="36" t="s">
        <v>0</v>
      </c>
      <c r="X117" s="36" t="s">
        <v>0</v>
      </c>
      <c r="Y117" s="35" t="s">
        <v>2</v>
      </c>
      <c r="Z117" s="35" t="s">
        <v>2</v>
      </c>
      <c r="AA117" s="35" t="s">
        <v>2</v>
      </c>
      <c r="AB117" s="35" t="s">
        <v>2</v>
      </c>
      <c r="AC117" s="35" t="s">
        <v>2</v>
      </c>
      <c r="AD117" s="36" t="s">
        <v>0</v>
      </c>
      <c r="AE117" s="36" t="s">
        <v>0</v>
      </c>
      <c r="AF117" s="35" t="s">
        <v>31</v>
      </c>
      <c r="AG117" s="87" t="s">
        <v>31</v>
      </c>
      <c r="AH117" s="288"/>
      <c r="AI117" s="76">
        <f t="shared" si="32"/>
        <v>2</v>
      </c>
      <c r="AJ117" s="9">
        <f t="shared" si="33"/>
        <v>20</v>
      </c>
    </row>
    <row r="118" spans="1:36" x14ac:dyDescent="0.25">
      <c r="A118" s="59" t="s">
        <v>18</v>
      </c>
      <c r="B118" s="58">
        <f t="shared" si="29"/>
        <v>23</v>
      </c>
      <c r="C118" s="283"/>
      <c r="D118" s="50" t="s">
        <v>2</v>
      </c>
      <c r="E118" s="35" t="s">
        <v>2</v>
      </c>
      <c r="F118" s="35" t="s">
        <v>2</v>
      </c>
      <c r="G118" s="35" t="s">
        <v>2</v>
      </c>
      <c r="H118" s="35" t="s">
        <v>2</v>
      </c>
      <c r="I118" s="36" t="s">
        <v>0</v>
      </c>
      <c r="J118" s="36" t="s">
        <v>0</v>
      </c>
      <c r="K118" s="35" t="s">
        <v>2</v>
      </c>
      <c r="L118" s="35" t="s">
        <v>2</v>
      </c>
      <c r="M118" s="35" t="s">
        <v>2</v>
      </c>
      <c r="N118" s="35" t="s">
        <v>2</v>
      </c>
      <c r="O118" s="35" t="s">
        <v>2</v>
      </c>
      <c r="P118" s="36" t="s">
        <v>0</v>
      </c>
      <c r="Q118" s="36" t="s">
        <v>0</v>
      </c>
      <c r="R118" s="35" t="s">
        <v>31</v>
      </c>
      <c r="S118" s="35" t="s">
        <v>31</v>
      </c>
      <c r="T118" s="35" t="s">
        <v>31</v>
      </c>
      <c r="U118" s="35" t="s">
        <v>31</v>
      </c>
      <c r="V118" s="35" t="s">
        <v>31</v>
      </c>
      <c r="W118" s="35" t="s">
        <v>0</v>
      </c>
      <c r="X118" s="35" t="s">
        <v>0</v>
      </c>
      <c r="Y118" s="35" t="s">
        <v>31</v>
      </c>
      <c r="Z118" s="35" t="s">
        <v>31</v>
      </c>
      <c r="AA118" s="35" t="s">
        <v>31</v>
      </c>
      <c r="AB118" s="35" t="s">
        <v>2</v>
      </c>
      <c r="AC118" s="35" t="s">
        <v>2</v>
      </c>
      <c r="AD118" s="36" t="s">
        <v>0</v>
      </c>
      <c r="AE118" s="36" t="s">
        <v>0</v>
      </c>
      <c r="AF118" s="35" t="s">
        <v>2</v>
      </c>
      <c r="AG118" s="87" t="s">
        <v>2</v>
      </c>
      <c r="AH118" s="288"/>
      <c r="AI118" s="76">
        <f t="shared" si="32"/>
        <v>8</v>
      </c>
      <c r="AJ118" s="9">
        <f t="shared" si="33"/>
        <v>15</v>
      </c>
    </row>
    <row r="119" spans="1:36" ht="15.75" thickBot="1" x14ac:dyDescent="0.3">
      <c r="A119" s="163" t="s">
        <v>37</v>
      </c>
      <c r="B119" s="58">
        <f t="shared" si="29"/>
        <v>25</v>
      </c>
      <c r="C119" s="283"/>
      <c r="D119" s="50" t="s">
        <v>31</v>
      </c>
      <c r="E119" s="35" t="s">
        <v>31</v>
      </c>
      <c r="F119" s="35" t="s">
        <v>31</v>
      </c>
      <c r="G119" s="35" t="s">
        <v>31</v>
      </c>
      <c r="H119" s="35" t="s">
        <v>31</v>
      </c>
      <c r="I119" s="35" t="s">
        <v>31</v>
      </c>
      <c r="J119" s="35" t="s">
        <v>31</v>
      </c>
      <c r="K119" s="35" t="s">
        <v>31</v>
      </c>
      <c r="L119" s="35" t="s">
        <v>31</v>
      </c>
      <c r="M119" s="35" t="s">
        <v>31</v>
      </c>
      <c r="N119" s="35" t="s">
        <v>31</v>
      </c>
      <c r="O119" s="35" t="s">
        <v>31</v>
      </c>
      <c r="P119" s="36" t="s">
        <v>0</v>
      </c>
      <c r="Q119" s="36" t="s">
        <v>0</v>
      </c>
      <c r="R119" s="35" t="s">
        <v>2</v>
      </c>
      <c r="S119" s="35" t="s">
        <v>2</v>
      </c>
      <c r="T119" s="35" t="s">
        <v>2</v>
      </c>
      <c r="U119" s="35" t="s">
        <v>2</v>
      </c>
      <c r="V119" s="35" t="s">
        <v>2</v>
      </c>
      <c r="W119" s="36" t="s">
        <v>0</v>
      </c>
      <c r="X119" s="36" t="s">
        <v>0</v>
      </c>
      <c r="Y119" s="35" t="s">
        <v>2</v>
      </c>
      <c r="Z119" s="35" t="s">
        <v>2</v>
      </c>
      <c r="AA119" s="35" t="s">
        <v>2</v>
      </c>
      <c r="AB119" s="35" t="s">
        <v>2</v>
      </c>
      <c r="AC119" s="35" t="s">
        <v>2</v>
      </c>
      <c r="AD119" s="36" t="s">
        <v>0</v>
      </c>
      <c r="AE119" s="36" t="s">
        <v>0</v>
      </c>
      <c r="AF119" s="35" t="s">
        <v>2</v>
      </c>
      <c r="AG119" s="87" t="s">
        <v>2</v>
      </c>
      <c r="AH119" s="288"/>
      <c r="AI119" s="76">
        <f t="shared" si="32"/>
        <v>12</v>
      </c>
      <c r="AJ119" s="9">
        <f t="shared" si="33"/>
        <v>13</v>
      </c>
    </row>
    <row r="120" spans="1:36" x14ac:dyDescent="0.25">
      <c r="A120" s="55" t="s">
        <v>15</v>
      </c>
      <c r="B120" s="54">
        <f t="shared" si="29"/>
        <v>24</v>
      </c>
      <c r="C120" s="283"/>
      <c r="D120" s="44" t="s">
        <v>2</v>
      </c>
      <c r="E120" s="42" t="s">
        <v>2</v>
      </c>
      <c r="F120" s="42" t="s">
        <v>2</v>
      </c>
      <c r="G120" s="42" t="s">
        <v>2</v>
      </c>
      <c r="H120" s="43" t="s">
        <v>0</v>
      </c>
      <c r="I120" s="43" t="s">
        <v>0</v>
      </c>
      <c r="J120" s="42" t="s">
        <v>2</v>
      </c>
      <c r="K120" s="42" t="s">
        <v>2</v>
      </c>
      <c r="L120" s="42" t="s">
        <v>2</v>
      </c>
      <c r="M120" s="42" t="s">
        <v>2</v>
      </c>
      <c r="N120" s="42" t="s">
        <v>2</v>
      </c>
      <c r="O120" s="43" t="s">
        <v>0</v>
      </c>
      <c r="P120" s="43" t="s">
        <v>0</v>
      </c>
      <c r="Q120" s="42" t="s">
        <v>2</v>
      </c>
      <c r="R120" s="42" t="s">
        <v>31</v>
      </c>
      <c r="S120" s="42" t="s">
        <v>31</v>
      </c>
      <c r="T120" s="42" t="s">
        <v>31</v>
      </c>
      <c r="U120" s="42" t="s">
        <v>31</v>
      </c>
      <c r="V120" s="42" t="s">
        <v>31</v>
      </c>
      <c r="W120" s="42" t="s">
        <v>31</v>
      </c>
      <c r="X120" s="42" t="s">
        <v>31</v>
      </c>
      <c r="Y120" s="42" t="s">
        <v>31</v>
      </c>
      <c r="Z120" s="42" t="s">
        <v>31</v>
      </c>
      <c r="AA120" s="42" t="s">
        <v>31</v>
      </c>
      <c r="AB120" s="42" t="s">
        <v>31</v>
      </c>
      <c r="AC120" s="43" t="s">
        <v>0</v>
      </c>
      <c r="AD120" s="43" t="s">
        <v>0</v>
      </c>
      <c r="AE120" s="42" t="s">
        <v>2</v>
      </c>
      <c r="AF120" s="42" t="s">
        <v>2</v>
      </c>
      <c r="AG120" s="84" t="s">
        <v>2</v>
      </c>
      <c r="AH120" s="288"/>
      <c r="AI120" s="76">
        <f t="shared" si="30"/>
        <v>11</v>
      </c>
      <c r="AJ120" s="9">
        <f t="shared" si="31"/>
        <v>13</v>
      </c>
    </row>
    <row r="121" spans="1:36" ht="14.25" customHeight="1" x14ac:dyDescent="0.25">
      <c r="A121" s="52" t="s">
        <v>14</v>
      </c>
      <c r="B121" s="51">
        <f t="shared" si="29"/>
        <v>19</v>
      </c>
      <c r="C121" s="283"/>
      <c r="D121" s="50" t="s">
        <v>2</v>
      </c>
      <c r="E121" s="35" t="s">
        <v>2</v>
      </c>
      <c r="F121" s="35" t="s">
        <v>2</v>
      </c>
      <c r="G121" s="35" t="s">
        <v>2</v>
      </c>
      <c r="H121" s="36" t="s">
        <v>0</v>
      </c>
      <c r="I121" s="36" t="s">
        <v>0</v>
      </c>
      <c r="J121" s="35" t="s">
        <v>2</v>
      </c>
      <c r="K121" s="35" t="s">
        <v>2</v>
      </c>
      <c r="L121" s="35" t="s">
        <v>2</v>
      </c>
      <c r="M121" s="35" t="s">
        <v>2</v>
      </c>
      <c r="N121" s="35" t="s">
        <v>2</v>
      </c>
      <c r="O121" s="36" t="s">
        <v>0</v>
      </c>
      <c r="P121" s="36" t="s">
        <v>0</v>
      </c>
      <c r="Q121" s="35" t="s">
        <v>2</v>
      </c>
      <c r="R121" s="35" t="s">
        <v>2</v>
      </c>
      <c r="S121" s="35" t="s">
        <v>2</v>
      </c>
      <c r="T121" s="35" t="s">
        <v>2</v>
      </c>
      <c r="U121" s="35" t="s">
        <v>2</v>
      </c>
      <c r="V121" s="36" t="s">
        <v>0</v>
      </c>
      <c r="W121" s="36" t="s">
        <v>0</v>
      </c>
      <c r="X121" s="35" t="s">
        <v>2</v>
      </c>
      <c r="Y121" s="35" t="s">
        <v>2</v>
      </c>
      <c r="Z121" s="35" t="s">
        <v>2</v>
      </c>
      <c r="AA121" s="35" t="s">
        <v>2</v>
      </c>
      <c r="AB121" s="35" t="s">
        <v>2</v>
      </c>
      <c r="AC121" s="36" t="s">
        <v>0</v>
      </c>
      <c r="AD121" s="36" t="s">
        <v>0</v>
      </c>
      <c r="AE121" s="35" t="s">
        <v>2</v>
      </c>
      <c r="AF121" s="35" t="s">
        <v>2</v>
      </c>
      <c r="AG121" s="87" t="s">
        <v>2</v>
      </c>
      <c r="AH121" s="288"/>
      <c r="AI121" s="76">
        <f t="shared" si="30"/>
        <v>0</v>
      </c>
      <c r="AJ121" s="9">
        <f t="shared" si="31"/>
        <v>19</v>
      </c>
    </row>
    <row r="122" spans="1:36" ht="15.75" thickBot="1" x14ac:dyDescent="0.3">
      <c r="A122" s="49" t="s">
        <v>13</v>
      </c>
      <c r="B122" s="48">
        <f t="shared" si="29"/>
        <v>8</v>
      </c>
      <c r="C122" s="283"/>
      <c r="D122" s="47" t="s">
        <v>2</v>
      </c>
      <c r="E122" s="30" t="s">
        <v>2</v>
      </c>
      <c r="F122" s="30" t="s">
        <v>2</v>
      </c>
      <c r="G122" s="30" t="s">
        <v>2</v>
      </c>
      <c r="H122" s="28" t="s">
        <v>0</v>
      </c>
      <c r="I122" s="28" t="s">
        <v>0</v>
      </c>
      <c r="J122" s="30" t="s">
        <v>2</v>
      </c>
      <c r="K122" s="30" t="s">
        <v>2</v>
      </c>
      <c r="L122" s="30" t="s">
        <v>2</v>
      </c>
      <c r="M122" s="30" t="s">
        <v>2</v>
      </c>
      <c r="N122" s="30" t="s">
        <v>2</v>
      </c>
      <c r="O122" s="28" t="s">
        <v>0</v>
      </c>
      <c r="P122" s="28" t="s">
        <v>0</v>
      </c>
      <c r="Q122" s="30" t="s">
        <v>2</v>
      </c>
      <c r="R122" s="30" t="s">
        <v>2</v>
      </c>
      <c r="S122" s="30" t="s">
        <v>2</v>
      </c>
      <c r="T122" s="30" t="s">
        <v>2</v>
      </c>
      <c r="U122" s="30" t="s">
        <v>2</v>
      </c>
      <c r="V122" s="28" t="s">
        <v>0</v>
      </c>
      <c r="W122" s="28" t="s">
        <v>0</v>
      </c>
      <c r="X122" s="30" t="s">
        <v>2</v>
      </c>
      <c r="Y122" s="30" t="s">
        <v>2</v>
      </c>
      <c r="Z122" s="30" t="s">
        <v>2</v>
      </c>
      <c r="AA122" s="30" t="s">
        <v>2</v>
      </c>
      <c r="AB122" s="30" t="s">
        <v>2</v>
      </c>
      <c r="AC122" s="28" t="s">
        <v>0</v>
      </c>
      <c r="AD122" s="28" t="s">
        <v>0</v>
      </c>
      <c r="AE122" s="30" t="s">
        <v>2</v>
      </c>
      <c r="AF122" s="30" t="s">
        <v>2</v>
      </c>
      <c r="AG122" s="86" t="s">
        <v>2</v>
      </c>
      <c r="AH122" s="288"/>
      <c r="AI122" s="76">
        <f t="shared" si="30"/>
        <v>0</v>
      </c>
      <c r="AJ122" s="9">
        <f t="shared" si="31"/>
        <v>8</v>
      </c>
    </row>
    <row r="123" spans="1:36" x14ac:dyDescent="0.25">
      <c r="A123" s="46" t="s">
        <v>12</v>
      </c>
      <c r="B123" s="45">
        <f t="shared" si="29"/>
        <v>15</v>
      </c>
      <c r="C123" s="283"/>
      <c r="D123" s="85" t="s">
        <v>0</v>
      </c>
      <c r="E123" s="43" t="s">
        <v>0</v>
      </c>
      <c r="F123" s="43" t="s">
        <v>0</v>
      </c>
      <c r="G123" s="42" t="s">
        <v>2</v>
      </c>
      <c r="H123" s="42" t="s">
        <v>2</v>
      </c>
      <c r="I123" s="42" t="s">
        <v>2</v>
      </c>
      <c r="J123" s="41" t="s">
        <v>1</v>
      </c>
      <c r="K123" s="41" t="s">
        <v>1</v>
      </c>
      <c r="L123" s="41" t="s">
        <v>1</v>
      </c>
      <c r="M123" s="43" t="s">
        <v>0</v>
      </c>
      <c r="N123" s="43" t="s">
        <v>0</v>
      </c>
      <c r="O123" s="43" t="s">
        <v>0</v>
      </c>
      <c r="P123" s="42" t="s">
        <v>2</v>
      </c>
      <c r="Q123" s="42" t="s">
        <v>2</v>
      </c>
      <c r="R123" s="42" t="s">
        <v>2</v>
      </c>
      <c r="S123" s="41" t="s">
        <v>1</v>
      </c>
      <c r="T123" s="41" t="s">
        <v>1</v>
      </c>
      <c r="U123" s="41" t="s">
        <v>1</v>
      </c>
      <c r="V123" s="43" t="s">
        <v>0</v>
      </c>
      <c r="W123" s="43" t="s">
        <v>0</v>
      </c>
      <c r="X123" s="43" t="s">
        <v>0</v>
      </c>
      <c r="Y123" s="42" t="s">
        <v>2</v>
      </c>
      <c r="Z123" s="42" t="s">
        <v>2</v>
      </c>
      <c r="AA123" s="42" t="s">
        <v>2</v>
      </c>
      <c r="AB123" s="41" t="s">
        <v>1</v>
      </c>
      <c r="AC123" s="41" t="s">
        <v>1</v>
      </c>
      <c r="AD123" s="41" t="s">
        <v>1</v>
      </c>
      <c r="AE123" s="43" t="s">
        <v>0</v>
      </c>
      <c r="AF123" s="43" t="s">
        <v>0</v>
      </c>
      <c r="AG123" s="103" t="s">
        <v>0</v>
      </c>
      <c r="AH123" s="288"/>
      <c r="AI123" s="76">
        <f t="shared" si="30"/>
        <v>0</v>
      </c>
      <c r="AJ123" s="9">
        <f t="shared" si="31"/>
        <v>15</v>
      </c>
    </row>
    <row r="124" spans="1:36" x14ac:dyDescent="0.25">
      <c r="A124" s="40" t="s">
        <v>11</v>
      </c>
      <c r="B124" s="39">
        <f t="shared" si="29"/>
        <v>32</v>
      </c>
      <c r="C124" s="283"/>
      <c r="D124" s="83" t="s">
        <v>1</v>
      </c>
      <c r="E124" s="37" t="s">
        <v>1</v>
      </c>
      <c r="F124" s="37" t="s">
        <v>1</v>
      </c>
      <c r="G124" s="36" t="s">
        <v>0</v>
      </c>
      <c r="H124" s="36" t="s">
        <v>0</v>
      </c>
      <c r="I124" s="36" t="s">
        <v>0</v>
      </c>
      <c r="J124" s="35" t="s">
        <v>31</v>
      </c>
      <c r="K124" s="35" t="s">
        <v>31</v>
      </c>
      <c r="L124" s="35" t="s">
        <v>31</v>
      </c>
      <c r="M124" s="35" t="s">
        <v>31</v>
      </c>
      <c r="N124" s="35" t="s">
        <v>31</v>
      </c>
      <c r="O124" s="37" t="s">
        <v>1</v>
      </c>
      <c r="P124" s="36" t="s">
        <v>0</v>
      </c>
      <c r="Q124" s="36" t="s">
        <v>0</v>
      </c>
      <c r="R124" s="36" t="s">
        <v>0</v>
      </c>
      <c r="S124" s="35" t="s">
        <v>2</v>
      </c>
      <c r="T124" s="35" t="s">
        <v>2</v>
      </c>
      <c r="U124" s="35" t="s">
        <v>2</v>
      </c>
      <c r="V124" s="37" t="s">
        <v>1</v>
      </c>
      <c r="W124" s="37" t="s">
        <v>1</v>
      </c>
      <c r="X124" s="37" t="s">
        <v>1</v>
      </c>
      <c r="Y124" s="36" t="s">
        <v>0</v>
      </c>
      <c r="Z124" s="36" t="s">
        <v>0</v>
      </c>
      <c r="AA124" s="36" t="s">
        <v>0</v>
      </c>
      <c r="AB124" s="35" t="s">
        <v>2</v>
      </c>
      <c r="AC124" s="35" t="s">
        <v>2</v>
      </c>
      <c r="AD124" s="35" t="s">
        <v>2</v>
      </c>
      <c r="AE124" s="37" t="s">
        <v>1</v>
      </c>
      <c r="AF124" s="37" t="s">
        <v>1</v>
      </c>
      <c r="AG124" s="102" t="s">
        <v>1</v>
      </c>
      <c r="AH124" s="288"/>
      <c r="AI124" s="76">
        <f t="shared" si="30"/>
        <v>5</v>
      </c>
      <c r="AJ124" s="9">
        <f t="shared" si="31"/>
        <v>27</v>
      </c>
    </row>
    <row r="125" spans="1:36" ht="15.75" thickBot="1" x14ac:dyDescent="0.3">
      <c r="A125" s="33" t="s">
        <v>10</v>
      </c>
      <c r="B125" s="32">
        <f t="shared" si="29"/>
        <v>19</v>
      </c>
      <c r="C125" s="283"/>
      <c r="D125" s="47" t="s">
        <v>2</v>
      </c>
      <c r="E125" s="30" t="s">
        <v>2</v>
      </c>
      <c r="F125" s="30" t="s">
        <v>2</v>
      </c>
      <c r="G125" s="29" t="s">
        <v>1</v>
      </c>
      <c r="H125" s="29" t="s">
        <v>1</v>
      </c>
      <c r="I125" s="29" t="s">
        <v>1</v>
      </c>
      <c r="J125" s="28" t="s">
        <v>0</v>
      </c>
      <c r="K125" s="28" t="s">
        <v>0</v>
      </c>
      <c r="L125" s="28" t="s">
        <v>0</v>
      </c>
      <c r="M125" s="30" t="s">
        <v>2</v>
      </c>
      <c r="N125" s="30" t="s">
        <v>2</v>
      </c>
      <c r="O125" s="30" t="s">
        <v>2</v>
      </c>
      <c r="P125" s="29" t="s">
        <v>1</v>
      </c>
      <c r="Q125" s="29" t="s">
        <v>1</v>
      </c>
      <c r="R125" s="29" t="s">
        <v>1</v>
      </c>
      <c r="S125" s="28" t="s">
        <v>0</v>
      </c>
      <c r="T125" s="28" t="s">
        <v>0</v>
      </c>
      <c r="U125" s="28" t="s">
        <v>0</v>
      </c>
      <c r="V125" s="30" t="s">
        <v>2</v>
      </c>
      <c r="W125" s="30" t="s">
        <v>2</v>
      </c>
      <c r="X125" s="30" t="s">
        <v>2</v>
      </c>
      <c r="Y125" s="29" t="s">
        <v>1</v>
      </c>
      <c r="Z125" s="29" t="s">
        <v>1</v>
      </c>
      <c r="AA125" s="29" t="s">
        <v>1</v>
      </c>
      <c r="AB125" s="28" t="s">
        <v>0</v>
      </c>
      <c r="AC125" s="28" t="s">
        <v>0</v>
      </c>
      <c r="AD125" s="28" t="s">
        <v>0</v>
      </c>
      <c r="AE125" s="30" t="s">
        <v>2</v>
      </c>
      <c r="AF125" s="30" t="s">
        <v>2</v>
      </c>
      <c r="AG125" s="86" t="s">
        <v>2</v>
      </c>
      <c r="AH125" s="288"/>
      <c r="AI125" s="76">
        <f t="shared" si="30"/>
        <v>0</v>
      </c>
      <c r="AJ125" s="9">
        <f t="shared" si="31"/>
        <v>19</v>
      </c>
    </row>
    <row r="126" spans="1:36" x14ac:dyDescent="0.25">
      <c r="A126" s="26" t="s">
        <v>9</v>
      </c>
      <c r="B126" s="25">
        <f t="shared" si="29"/>
        <v>38</v>
      </c>
      <c r="C126" s="283"/>
      <c r="D126" s="80" t="s">
        <v>31</v>
      </c>
      <c r="E126" s="23" t="s">
        <v>31</v>
      </c>
      <c r="F126" s="23" t="s">
        <v>31</v>
      </c>
      <c r="G126" s="23" t="s">
        <v>31</v>
      </c>
      <c r="H126" s="23" t="s">
        <v>31</v>
      </c>
      <c r="I126" s="23" t="s">
        <v>2</v>
      </c>
      <c r="J126" s="23" t="s">
        <v>2</v>
      </c>
      <c r="K126" s="23" t="s">
        <v>2</v>
      </c>
      <c r="L126" s="23" t="s">
        <v>2</v>
      </c>
      <c r="M126" s="23" t="s">
        <v>2</v>
      </c>
      <c r="N126" s="23" t="s">
        <v>2</v>
      </c>
      <c r="O126" s="22" t="s">
        <v>0</v>
      </c>
      <c r="P126" s="22" t="s">
        <v>0</v>
      </c>
      <c r="Q126" s="22" t="s">
        <v>0</v>
      </c>
      <c r="R126" s="23" t="s">
        <v>2</v>
      </c>
      <c r="S126" s="23" t="s">
        <v>2</v>
      </c>
      <c r="T126" s="23" t="s">
        <v>2</v>
      </c>
      <c r="U126" s="23" t="s">
        <v>2</v>
      </c>
      <c r="V126" s="23" t="s">
        <v>2</v>
      </c>
      <c r="W126" s="23" t="s">
        <v>31</v>
      </c>
      <c r="X126" s="22" t="s">
        <v>0</v>
      </c>
      <c r="Y126" s="22" t="s">
        <v>0</v>
      </c>
      <c r="Z126" s="22" t="s">
        <v>0</v>
      </c>
      <c r="AA126" s="23" t="s">
        <v>2</v>
      </c>
      <c r="AB126" s="23" t="s">
        <v>2</v>
      </c>
      <c r="AC126" s="23" t="s">
        <v>2</v>
      </c>
      <c r="AD126" s="23" t="s">
        <v>2</v>
      </c>
      <c r="AE126" s="23" t="s">
        <v>2</v>
      </c>
      <c r="AF126" s="23" t="s">
        <v>2</v>
      </c>
      <c r="AG126" s="79" t="s">
        <v>0</v>
      </c>
      <c r="AH126" s="288"/>
      <c r="AI126" s="76">
        <f t="shared" si="30"/>
        <v>6</v>
      </c>
      <c r="AJ126" s="9">
        <f t="shared" si="31"/>
        <v>32</v>
      </c>
    </row>
    <row r="127" spans="1:36" x14ac:dyDescent="0.25">
      <c r="A127" s="16" t="s">
        <v>7</v>
      </c>
      <c r="B127" s="15">
        <f t="shared" si="29"/>
        <v>32</v>
      </c>
      <c r="C127" s="283"/>
      <c r="D127" s="18" t="s">
        <v>2</v>
      </c>
      <c r="E127" s="17" t="s">
        <v>2</v>
      </c>
      <c r="F127" s="17" t="s">
        <v>2</v>
      </c>
      <c r="G127" s="13" t="s">
        <v>0</v>
      </c>
      <c r="H127" s="13" t="s">
        <v>0</v>
      </c>
      <c r="I127" s="13" t="s">
        <v>2</v>
      </c>
      <c r="J127" s="13" t="s">
        <v>2</v>
      </c>
      <c r="K127" s="13" t="s">
        <v>2</v>
      </c>
      <c r="L127" s="13" t="s">
        <v>2</v>
      </c>
      <c r="M127" s="13" t="s">
        <v>2</v>
      </c>
      <c r="N127" s="13" t="s">
        <v>0</v>
      </c>
      <c r="O127" s="13" t="s">
        <v>0</v>
      </c>
      <c r="P127" s="13" t="s">
        <v>2</v>
      </c>
      <c r="Q127" s="13" t="s">
        <v>2</v>
      </c>
      <c r="R127" s="13" t="s">
        <v>2</v>
      </c>
      <c r="S127" s="13" t="s">
        <v>2</v>
      </c>
      <c r="T127" s="13" t="s">
        <v>2</v>
      </c>
      <c r="U127" s="13" t="s">
        <v>0</v>
      </c>
      <c r="V127" s="13" t="s">
        <v>0</v>
      </c>
      <c r="W127" s="13" t="s">
        <v>2</v>
      </c>
      <c r="X127" s="13" t="s">
        <v>2</v>
      </c>
      <c r="Y127" s="13" t="s">
        <v>2</v>
      </c>
      <c r="Z127" s="13" t="s">
        <v>2</v>
      </c>
      <c r="AA127" s="13" t="s">
        <v>2</v>
      </c>
      <c r="AB127" s="13" t="s">
        <v>0</v>
      </c>
      <c r="AC127" s="13" t="s">
        <v>0</v>
      </c>
      <c r="AD127" s="13" t="s">
        <v>2</v>
      </c>
      <c r="AE127" s="13" t="s">
        <v>2</v>
      </c>
      <c r="AF127" s="13" t="s">
        <v>2</v>
      </c>
      <c r="AG127" s="77" t="s">
        <v>2</v>
      </c>
      <c r="AH127" s="288"/>
      <c r="AI127" s="76">
        <f t="shared" ref="AI127" si="34">COUNTIF(D127:AG127,"V")</f>
        <v>0</v>
      </c>
      <c r="AJ127" s="9">
        <f t="shared" ref="AJ127" si="35">B127-AI127</f>
        <v>32</v>
      </c>
    </row>
    <row r="128" spans="1:36" x14ac:dyDescent="0.25">
      <c r="A128" s="16" t="s">
        <v>8</v>
      </c>
      <c r="B128" s="15">
        <f t="shared" si="29"/>
        <v>25</v>
      </c>
      <c r="C128" s="283"/>
      <c r="D128" s="14" t="s">
        <v>0</v>
      </c>
      <c r="E128" s="13" t="s">
        <v>0</v>
      </c>
      <c r="F128" s="13" t="s">
        <v>0</v>
      </c>
      <c r="G128" s="13" t="s">
        <v>2</v>
      </c>
      <c r="H128" s="13" t="s">
        <v>2</v>
      </c>
      <c r="I128" s="13" t="s">
        <v>2</v>
      </c>
      <c r="J128" s="13" t="s">
        <v>2</v>
      </c>
      <c r="K128" s="13" t="s">
        <v>2</v>
      </c>
      <c r="L128" s="13" t="s">
        <v>2</v>
      </c>
      <c r="M128" s="13" t="s">
        <v>0</v>
      </c>
      <c r="N128" s="13" t="s">
        <v>0</v>
      </c>
      <c r="O128" s="13" t="s">
        <v>0</v>
      </c>
      <c r="P128" s="12" t="s">
        <v>1</v>
      </c>
      <c r="Q128" s="12" t="s">
        <v>1</v>
      </c>
      <c r="R128" s="12" t="s">
        <v>31</v>
      </c>
      <c r="S128" s="12" t="s">
        <v>1</v>
      </c>
      <c r="T128" s="12" t="s">
        <v>1</v>
      </c>
      <c r="U128" s="12" t="s">
        <v>1</v>
      </c>
      <c r="V128" s="13" t="s">
        <v>0</v>
      </c>
      <c r="W128" s="13" t="s">
        <v>0</v>
      </c>
      <c r="X128" s="13" t="s">
        <v>0</v>
      </c>
      <c r="Y128" s="13" t="s">
        <v>2</v>
      </c>
      <c r="Z128" s="13" t="s">
        <v>2</v>
      </c>
      <c r="AA128" s="13" t="s">
        <v>2</v>
      </c>
      <c r="AB128" s="13" t="s">
        <v>2</v>
      </c>
      <c r="AC128" s="13" t="s">
        <v>2</v>
      </c>
      <c r="AD128" s="13" t="s">
        <v>2</v>
      </c>
      <c r="AE128" s="13" t="s">
        <v>0</v>
      </c>
      <c r="AF128" s="13" t="s">
        <v>0</v>
      </c>
      <c r="AG128" s="77" t="s">
        <v>0</v>
      </c>
      <c r="AH128" s="288"/>
      <c r="AI128" s="76">
        <f t="shared" si="30"/>
        <v>1</v>
      </c>
      <c r="AJ128" s="9">
        <f t="shared" si="31"/>
        <v>24</v>
      </c>
    </row>
    <row r="129" spans="1:36" x14ac:dyDescent="0.25">
      <c r="A129" s="16" t="s">
        <v>33</v>
      </c>
      <c r="B129" s="15">
        <f t="shared" si="29"/>
        <v>39</v>
      </c>
      <c r="C129" s="283"/>
      <c r="D129" s="14" t="s">
        <v>0</v>
      </c>
      <c r="E129" s="13" t="s">
        <v>0</v>
      </c>
      <c r="F129" s="13" t="s">
        <v>0</v>
      </c>
      <c r="G129" s="13" t="s">
        <v>1</v>
      </c>
      <c r="H129" s="13" t="s">
        <v>1</v>
      </c>
      <c r="I129" s="13" t="s">
        <v>1</v>
      </c>
      <c r="J129" s="13" t="s">
        <v>1</v>
      </c>
      <c r="K129" s="13" t="s">
        <v>1</v>
      </c>
      <c r="L129" s="13" t="s">
        <v>1</v>
      </c>
      <c r="M129" s="13" t="s">
        <v>0</v>
      </c>
      <c r="N129" s="13" t="s">
        <v>0</v>
      </c>
      <c r="O129" s="13" t="s">
        <v>0</v>
      </c>
      <c r="P129" s="13" t="s">
        <v>2</v>
      </c>
      <c r="Q129" s="13" t="s">
        <v>2</v>
      </c>
      <c r="R129" s="13" t="s">
        <v>2</v>
      </c>
      <c r="S129" s="13" t="s">
        <v>49</v>
      </c>
      <c r="T129" s="13" t="s">
        <v>49</v>
      </c>
      <c r="U129" s="13" t="s">
        <v>49</v>
      </c>
      <c r="V129" s="13" t="s">
        <v>49</v>
      </c>
      <c r="W129" s="13" t="s">
        <v>49</v>
      </c>
      <c r="X129" s="13" t="s">
        <v>49</v>
      </c>
      <c r="Y129" s="13" t="s">
        <v>49</v>
      </c>
      <c r="Z129" s="13" t="s">
        <v>49</v>
      </c>
      <c r="AA129" s="13" t="s">
        <v>49</v>
      </c>
      <c r="AB129" s="13" t="s">
        <v>49</v>
      </c>
      <c r="AC129" s="13" t="s">
        <v>49</v>
      </c>
      <c r="AD129" s="13" t="s">
        <v>49</v>
      </c>
      <c r="AE129" s="13" t="s">
        <v>49</v>
      </c>
      <c r="AF129" s="13" t="s">
        <v>49</v>
      </c>
      <c r="AG129" s="13" t="s">
        <v>49</v>
      </c>
      <c r="AH129" s="288"/>
      <c r="AI129" s="76">
        <f t="shared" si="30"/>
        <v>0</v>
      </c>
      <c r="AJ129" s="9">
        <f t="shared" si="31"/>
        <v>39</v>
      </c>
    </row>
    <row r="130" spans="1:36" x14ac:dyDescent="0.25">
      <c r="A130" s="16" t="s">
        <v>6</v>
      </c>
      <c r="B130" s="15">
        <f t="shared" si="29"/>
        <v>37</v>
      </c>
      <c r="C130" s="283"/>
      <c r="D130" s="18" t="s">
        <v>1</v>
      </c>
      <c r="E130" s="17" t="s">
        <v>1</v>
      </c>
      <c r="F130" s="17" t="s">
        <v>1</v>
      </c>
      <c r="G130" s="12" t="s">
        <v>0</v>
      </c>
      <c r="H130" s="12" t="s">
        <v>0</v>
      </c>
      <c r="I130" s="12" t="s">
        <v>0</v>
      </c>
      <c r="J130" s="13" t="s">
        <v>2</v>
      </c>
      <c r="K130" s="13" t="s">
        <v>2</v>
      </c>
      <c r="L130" s="13" t="s">
        <v>2</v>
      </c>
      <c r="M130" s="13" t="s">
        <v>2</v>
      </c>
      <c r="N130" s="13" t="s">
        <v>2</v>
      </c>
      <c r="O130" s="13" t="s">
        <v>2</v>
      </c>
      <c r="P130" s="12" t="s">
        <v>0</v>
      </c>
      <c r="Q130" s="12" t="s">
        <v>0</v>
      </c>
      <c r="R130" s="12" t="s">
        <v>0</v>
      </c>
      <c r="S130" s="17" t="s">
        <v>1</v>
      </c>
      <c r="T130" s="17" t="s">
        <v>1</v>
      </c>
      <c r="U130" s="17" t="s">
        <v>1</v>
      </c>
      <c r="V130" s="17" t="s">
        <v>1</v>
      </c>
      <c r="W130" s="17" t="s">
        <v>1</v>
      </c>
      <c r="X130" s="17" t="s">
        <v>1</v>
      </c>
      <c r="Y130" s="12" t="s">
        <v>0</v>
      </c>
      <c r="Z130" s="12" t="s">
        <v>0</v>
      </c>
      <c r="AA130" s="12" t="s">
        <v>0</v>
      </c>
      <c r="AB130" s="13" t="s">
        <v>2</v>
      </c>
      <c r="AC130" s="13" t="s">
        <v>2</v>
      </c>
      <c r="AD130" s="13" t="s">
        <v>2</v>
      </c>
      <c r="AE130" s="13" t="s">
        <v>1</v>
      </c>
      <c r="AF130" s="13" t="s">
        <v>1</v>
      </c>
      <c r="AG130" s="77" t="s">
        <v>1</v>
      </c>
      <c r="AH130" s="288"/>
      <c r="AI130" s="76">
        <f t="shared" si="30"/>
        <v>0</v>
      </c>
      <c r="AJ130" s="9">
        <f t="shared" si="31"/>
        <v>37</v>
      </c>
    </row>
    <row r="131" spans="1:36" x14ac:dyDescent="0.25">
      <c r="A131" s="16" t="s">
        <v>5</v>
      </c>
      <c r="B131" s="15">
        <f t="shared" si="29"/>
        <v>31</v>
      </c>
      <c r="C131" s="283"/>
      <c r="D131" s="14" t="s">
        <v>2</v>
      </c>
      <c r="E131" s="13" t="s">
        <v>2</v>
      </c>
      <c r="F131" s="13" t="s">
        <v>2</v>
      </c>
      <c r="G131" s="12" t="s">
        <v>0</v>
      </c>
      <c r="H131" s="12" t="s">
        <v>0</v>
      </c>
      <c r="I131" s="12" t="s">
        <v>0</v>
      </c>
      <c r="J131" s="13" t="s">
        <v>1</v>
      </c>
      <c r="K131" s="13" t="s">
        <v>1</v>
      </c>
      <c r="L131" s="13" t="s">
        <v>1</v>
      </c>
      <c r="M131" s="13" t="s">
        <v>1</v>
      </c>
      <c r="N131" s="13" t="s">
        <v>1</v>
      </c>
      <c r="O131" s="13" t="s">
        <v>1</v>
      </c>
      <c r="P131" s="12" t="s">
        <v>0</v>
      </c>
      <c r="Q131" s="12" t="s">
        <v>0</v>
      </c>
      <c r="R131" s="12" t="s">
        <v>0</v>
      </c>
      <c r="S131" s="13" t="s">
        <v>2</v>
      </c>
      <c r="T131" s="13" t="s">
        <v>2</v>
      </c>
      <c r="U131" s="13" t="s">
        <v>2</v>
      </c>
      <c r="V131" s="13" t="s">
        <v>2</v>
      </c>
      <c r="W131" s="13" t="s">
        <v>2</v>
      </c>
      <c r="X131" s="13" t="s">
        <v>2</v>
      </c>
      <c r="Y131" s="12" t="s">
        <v>0</v>
      </c>
      <c r="Z131" s="12" t="s">
        <v>0</v>
      </c>
      <c r="AA131" s="12" t="s">
        <v>0</v>
      </c>
      <c r="AB131" s="13" t="s">
        <v>1</v>
      </c>
      <c r="AC131" s="13" t="s">
        <v>1</v>
      </c>
      <c r="AD131" s="13" t="s">
        <v>1</v>
      </c>
      <c r="AE131" s="13" t="s">
        <v>1</v>
      </c>
      <c r="AF131" s="13" t="s">
        <v>1</v>
      </c>
      <c r="AG131" s="77" t="s">
        <v>1</v>
      </c>
      <c r="AH131" s="288"/>
      <c r="AI131" s="76">
        <f t="shared" si="30"/>
        <v>0</v>
      </c>
      <c r="AJ131" s="9">
        <f t="shared" si="31"/>
        <v>31</v>
      </c>
    </row>
    <row r="132" spans="1:36" x14ac:dyDescent="0.25">
      <c r="A132" s="16" t="s">
        <v>43</v>
      </c>
      <c r="B132" s="15"/>
      <c r="C132" s="283"/>
      <c r="D132" s="285"/>
      <c r="E132" s="286"/>
      <c r="F132" s="286"/>
      <c r="G132" s="286"/>
      <c r="H132" s="286"/>
      <c r="I132" s="286"/>
      <c r="J132" s="13" t="s">
        <v>2</v>
      </c>
      <c r="K132" s="13" t="s">
        <v>2</v>
      </c>
      <c r="L132" s="13" t="s">
        <v>2</v>
      </c>
      <c r="M132" s="13" t="s">
        <v>2</v>
      </c>
      <c r="N132" s="13" t="s">
        <v>0</v>
      </c>
      <c r="O132" s="13" t="s">
        <v>0</v>
      </c>
      <c r="P132" s="12" t="s">
        <v>2</v>
      </c>
      <c r="Q132" s="12" t="s">
        <v>2</v>
      </c>
      <c r="R132" s="12" t="s">
        <v>2</v>
      </c>
      <c r="S132" s="12" t="s">
        <v>2</v>
      </c>
      <c r="T132" s="12" t="s">
        <v>2</v>
      </c>
      <c r="U132" s="13" t="s">
        <v>0</v>
      </c>
      <c r="V132" s="13" t="s">
        <v>0</v>
      </c>
      <c r="W132" s="12" t="s">
        <v>2</v>
      </c>
      <c r="X132" s="12" t="s">
        <v>2</v>
      </c>
      <c r="Y132" s="12" t="s">
        <v>2</v>
      </c>
      <c r="Z132" s="12" t="s">
        <v>2</v>
      </c>
      <c r="AA132" s="12" t="s">
        <v>2</v>
      </c>
      <c r="AB132" s="13" t="s">
        <v>0</v>
      </c>
      <c r="AC132" s="13" t="s">
        <v>0</v>
      </c>
      <c r="AD132" s="12" t="s">
        <v>2</v>
      </c>
      <c r="AE132" s="12" t="s">
        <v>2</v>
      </c>
      <c r="AF132" s="12" t="s">
        <v>2</v>
      </c>
      <c r="AG132" s="77" t="s">
        <v>2</v>
      </c>
      <c r="AH132" s="288"/>
      <c r="AI132" s="76">
        <f t="shared" ref="AI132:AI135" si="36">COUNTIF(D132:AG132,"V")</f>
        <v>0</v>
      </c>
      <c r="AJ132" s="9">
        <f t="shared" ref="AJ132:AJ135" si="37">B132-AI132</f>
        <v>0</v>
      </c>
    </row>
    <row r="133" spans="1:36" ht="15.75" thickBot="1" x14ac:dyDescent="0.3">
      <c r="A133" s="172" t="s">
        <v>4</v>
      </c>
      <c r="B133" s="173">
        <f>AJ109</f>
        <v>27</v>
      </c>
      <c r="C133" s="283"/>
      <c r="D133" s="180" t="s">
        <v>2</v>
      </c>
      <c r="E133" s="176" t="s">
        <v>2</v>
      </c>
      <c r="F133" s="176" t="s">
        <v>31</v>
      </c>
      <c r="G133" s="176" t="s">
        <v>31</v>
      </c>
      <c r="H133" s="176" t="s">
        <v>31</v>
      </c>
      <c r="I133" s="176" t="s">
        <v>31</v>
      </c>
      <c r="J133" s="175" t="s">
        <v>0</v>
      </c>
      <c r="K133" s="175" t="s">
        <v>0</v>
      </c>
      <c r="L133" s="175" t="s">
        <v>0</v>
      </c>
      <c r="M133" s="175" t="s">
        <v>1</v>
      </c>
      <c r="N133" s="175" t="s">
        <v>1</v>
      </c>
      <c r="O133" s="175" t="s">
        <v>1</v>
      </c>
      <c r="P133" s="175" t="s">
        <v>1</v>
      </c>
      <c r="Q133" s="175" t="s">
        <v>1</v>
      </c>
      <c r="R133" s="175" t="s">
        <v>1</v>
      </c>
      <c r="S133" s="175" t="s">
        <v>0</v>
      </c>
      <c r="T133" s="175" t="s">
        <v>0</v>
      </c>
      <c r="U133" s="175" t="s">
        <v>0</v>
      </c>
      <c r="V133" s="175" t="s">
        <v>0</v>
      </c>
      <c r="W133" s="176" t="s">
        <v>2</v>
      </c>
      <c r="X133" s="176" t="s">
        <v>2</v>
      </c>
      <c r="Y133" s="176" t="s">
        <v>2</v>
      </c>
      <c r="Z133" s="176" t="s">
        <v>2</v>
      </c>
      <c r="AA133" s="176" t="s">
        <v>2</v>
      </c>
      <c r="AB133" s="176" t="s">
        <v>2</v>
      </c>
      <c r="AC133" s="176" t="s">
        <v>2</v>
      </c>
      <c r="AD133" s="175" t="s">
        <v>0</v>
      </c>
      <c r="AE133" s="175" t="s">
        <v>0</v>
      </c>
      <c r="AF133" s="175" t="s">
        <v>1</v>
      </c>
      <c r="AG133" s="177" t="s">
        <v>1</v>
      </c>
      <c r="AH133" s="288"/>
      <c r="AI133" s="76">
        <f t="shared" si="36"/>
        <v>4</v>
      </c>
      <c r="AJ133" s="9">
        <f t="shared" si="37"/>
        <v>23</v>
      </c>
    </row>
    <row r="134" spans="1:36" x14ac:dyDescent="0.25">
      <c r="A134" s="26" t="s">
        <v>3</v>
      </c>
      <c r="B134" s="25">
        <f>AJ108</f>
        <v>31</v>
      </c>
      <c r="C134" s="283"/>
      <c r="D134" s="80" t="s">
        <v>1</v>
      </c>
      <c r="E134" s="23" t="s">
        <v>1</v>
      </c>
      <c r="F134" s="23" t="s">
        <v>1</v>
      </c>
      <c r="G134" s="23" t="s">
        <v>1</v>
      </c>
      <c r="H134" s="23" t="s">
        <v>1</v>
      </c>
      <c r="I134" s="23" t="s">
        <v>1</v>
      </c>
      <c r="J134" s="22" t="s">
        <v>0</v>
      </c>
      <c r="K134" s="22" t="s">
        <v>0</v>
      </c>
      <c r="L134" s="22" t="s">
        <v>0</v>
      </c>
      <c r="M134" s="23" t="s">
        <v>2</v>
      </c>
      <c r="N134" s="23" t="s">
        <v>2</v>
      </c>
      <c r="O134" s="23" t="s">
        <v>2</v>
      </c>
      <c r="P134" s="23" t="s">
        <v>2</v>
      </c>
      <c r="Q134" s="23" t="s">
        <v>2</v>
      </c>
      <c r="R134" s="23" t="s">
        <v>2</v>
      </c>
      <c r="S134" s="22" t="s">
        <v>0</v>
      </c>
      <c r="T134" s="22" t="s">
        <v>0</v>
      </c>
      <c r="U134" s="22" t="s">
        <v>0</v>
      </c>
      <c r="V134" s="23" t="s">
        <v>1</v>
      </c>
      <c r="W134" s="23" t="s">
        <v>1</v>
      </c>
      <c r="X134" s="23" t="s">
        <v>1</v>
      </c>
      <c r="Y134" s="23" t="s">
        <v>1</v>
      </c>
      <c r="Z134" s="23" t="s">
        <v>1</v>
      </c>
      <c r="AA134" s="23" t="s">
        <v>1</v>
      </c>
      <c r="AB134" s="22" t="s">
        <v>0</v>
      </c>
      <c r="AC134" s="22" t="s">
        <v>0</v>
      </c>
      <c r="AD134" s="22" t="s">
        <v>0</v>
      </c>
      <c r="AE134" s="23" t="s">
        <v>2</v>
      </c>
      <c r="AF134" s="23" t="s">
        <v>2</v>
      </c>
      <c r="AG134" s="101" t="s">
        <v>2</v>
      </c>
      <c r="AH134" s="288"/>
      <c r="AI134" s="76">
        <f t="shared" si="36"/>
        <v>0</v>
      </c>
      <c r="AJ134" s="9">
        <f t="shared" si="37"/>
        <v>31</v>
      </c>
    </row>
    <row r="135" spans="1:36" ht="15.75" thickBot="1" x14ac:dyDescent="0.3">
      <c r="A135" s="8" t="s">
        <v>39</v>
      </c>
      <c r="B135" s="7">
        <v>17</v>
      </c>
      <c r="C135" s="284"/>
      <c r="D135" s="6" t="s">
        <v>2</v>
      </c>
      <c r="E135" s="5" t="s">
        <v>2</v>
      </c>
      <c r="F135" s="5" t="s">
        <v>2</v>
      </c>
      <c r="G135" s="5" t="s">
        <v>2</v>
      </c>
      <c r="H135" s="5" t="s">
        <v>0</v>
      </c>
      <c r="I135" s="5" t="s">
        <v>0</v>
      </c>
      <c r="J135" s="4" t="s">
        <v>2</v>
      </c>
      <c r="K135" s="4" t="s">
        <v>2</v>
      </c>
      <c r="L135" s="4" t="s">
        <v>2</v>
      </c>
      <c r="M135" s="4" t="s">
        <v>2</v>
      </c>
      <c r="N135" s="4" t="s">
        <v>2</v>
      </c>
      <c r="O135" s="5" t="s">
        <v>0</v>
      </c>
      <c r="P135" s="5" t="s">
        <v>0</v>
      </c>
      <c r="Q135" s="4" t="s">
        <v>2</v>
      </c>
      <c r="R135" s="4" t="s">
        <v>2</v>
      </c>
      <c r="S135" s="4" t="s">
        <v>2</v>
      </c>
      <c r="T135" s="4" t="s">
        <v>2</v>
      </c>
      <c r="U135" s="4" t="s">
        <v>2</v>
      </c>
      <c r="V135" s="5" t="s">
        <v>0</v>
      </c>
      <c r="W135" s="5" t="s">
        <v>0</v>
      </c>
      <c r="X135" s="4" t="s">
        <v>2</v>
      </c>
      <c r="Y135" s="4" t="s">
        <v>2</v>
      </c>
      <c r="Z135" s="4" t="s">
        <v>2</v>
      </c>
      <c r="AA135" s="4" t="s">
        <v>2</v>
      </c>
      <c r="AB135" s="4" t="s">
        <v>2</v>
      </c>
      <c r="AC135" s="5" t="s">
        <v>0</v>
      </c>
      <c r="AD135" s="5" t="s">
        <v>0</v>
      </c>
      <c r="AE135" s="4" t="s">
        <v>2</v>
      </c>
      <c r="AF135" s="4" t="s">
        <v>2</v>
      </c>
      <c r="AG135" s="74" t="s">
        <v>2</v>
      </c>
      <c r="AH135" s="288"/>
      <c r="AI135" s="76">
        <f t="shared" si="36"/>
        <v>0</v>
      </c>
      <c r="AJ135" s="9">
        <f t="shared" si="37"/>
        <v>17</v>
      </c>
    </row>
    <row r="136" spans="1:36" ht="21.75" thickBot="1" x14ac:dyDescent="0.3">
      <c r="A136" s="91"/>
      <c r="B136" s="91"/>
      <c r="C136" s="93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1"/>
      <c r="AJ136" s="91"/>
    </row>
    <row r="137" spans="1:36" ht="15" customHeight="1" x14ac:dyDescent="0.25">
      <c r="A137" s="240" t="s">
        <v>30</v>
      </c>
      <c r="B137" s="254" t="s">
        <v>29</v>
      </c>
      <c r="C137" s="276">
        <v>45931</v>
      </c>
      <c r="D137" s="72" t="s">
        <v>23</v>
      </c>
      <c r="E137" s="71" t="s">
        <v>22</v>
      </c>
      <c r="F137" s="71" t="s">
        <v>28</v>
      </c>
      <c r="G137" s="71" t="s">
        <v>27</v>
      </c>
      <c r="H137" s="71" t="s">
        <v>26</v>
      </c>
      <c r="I137" s="71" t="s">
        <v>25</v>
      </c>
      <c r="J137" s="71" t="s">
        <v>24</v>
      </c>
      <c r="K137" s="71" t="s">
        <v>23</v>
      </c>
      <c r="L137" s="71" t="s">
        <v>22</v>
      </c>
      <c r="M137" s="71" t="s">
        <v>28</v>
      </c>
      <c r="N137" s="71" t="s">
        <v>27</v>
      </c>
      <c r="O137" s="71" t="s">
        <v>26</v>
      </c>
      <c r="P137" s="71" t="s">
        <v>25</v>
      </c>
      <c r="Q137" s="71" t="s">
        <v>24</v>
      </c>
      <c r="R137" s="71" t="s">
        <v>23</v>
      </c>
      <c r="S137" s="71" t="s">
        <v>22</v>
      </c>
      <c r="T137" s="71" t="s">
        <v>28</v>
      </c>
      <c r="U137" s="71" t="s">
        <v>27</v>
      </c>
      <c r="V137" s="71" t="s">
        <v>26</v>
      </c>
      <c r="W137" s="71" t="s">
        <v>25</v>
      </c>
      <c r="X137" s="71" t="s">
        <v>24</v>
      </c>
      <c r="Y137" s="71" t="s">
        <v>23</v>
      </c>
      <c r="Z137" s="71" t="s">
        <v>22</v>
      </c>
      <c r="AA137" s="71" t="s">
        <v>28</v>
      </c>
      <c r="AB137" s="71" t="s">
        <v>27</v>
      </c>
      <c r="AC137" s="71" t="s">
        <v>26</v>
      </c>
      <c r="AD137" s="71" t="s">
        <v>25</v>
      </c>
      <c r="AE137" s="71" t="s">
        <v>24</v>
      </c>
      <c r="AF137" s="71" t="s">
        <v>23</v>
      </c>
      <c r="AG137" s="71" t="s">
        <v>22</v>
      </c>
      <c r="AH137" s="69" t="s">
        <v>28</v>
      </c>
      <c r="AI137" s="270" t="s">
        <v>21</v>
      </c>
      <c r="AJ137" s="250" t="s">
        <v>20</v>
      </c>
    </row>
    <row r="138" spans="1:36" ht="15.75" thickBot="1" x14ac:dyDescent="0.3">
      <c r="A138" s="241"/>
      <c r="B138" s="255"/>
      <c r="C138" s="277"/>
      <c r="D138" s="68">
        <v>1</v>
      </c>
      <c r="E138" s="67">
        <v>2</v>
      </c>
      <c r="F138" s="67">
        <v>3</v>
      </c>
      <c r="G138" s="67">
        <v>4</v>
      </c>
      <c r="H138" s="67">
        <v>5</v>
      </c>
      <c r="I138" s="67">
        <v>6</v>
      </c>
      <c r="J138" s="67">
        <v>7</v>
      </c>
      <c r="K138" s="67">
        <v>8</v>
      </c>
      <c r="L138" s="67">
        <v>9</v>
      </c>
      <c r="M138" s="67">
        <v>10</v>
      </c>
      <c r="N138" s="67">
        <v>11</v>
      </c>
      <c r="O138" s="67">
        <v>12</v>
      </c>
      <c r="P138" s="67">
        <v>13</v>
      </c>
      <c r="Q138" s="67">
        <v>14</v>
      </c>
      <c r="R138" s="67">
        <v>15</v>
      </c>
      <c r="S138" s="67">
        <v>16</v>
      </c>
      <c r="T138" s="67">
        <v>17</v>
      </c>
      <c r="U138" s="67">
        <v>18</v>
      </c>
      <c r="V138" s="67">
        <v>19</v>
      </c>
      <c r="W138" s="67">
        <v>20</v>
      </c>
      <c r="X138" s="67">
        <v>21</v>
      </c>
      <c r="Y138" s="67">
        <v>22</v>
      </c>
      <c r="Z138" s="67">
        <v>23</v>
      </c>
      <c r="AA138" s="67">
        <v>24</v>
      </c>
      <c r="AB138" s="67">
        <v>25</v>
      </c>
      <c r="AC138" s="67">
        <v>26</v>
      </c>
      <c r="AD138" s="67">
        <v>27</v>
      </c>
      <c r="AE138" s="67">
        <v>28</v>
      </c>
      <c r="AF138" s="67">
        <v>29</v>
      </c>
      <c r="AG138" s="67">
        <v>30</v>
      </c>
      <c r="AH138" s="65">
        <v>31</v>
      </c>
      <c r="AI138" s="271"/>
      <c r="AJ138" s="251"/>
    </row>
    <row r="139" spans="1:36" x14ac:dyDescent="0.25">
      <c r="A139" s="64" t="s">
        <v>19</v>
      </c>
      <c r="B139" s="205">
        <f t="shared" ref="B139:B150" si="38">AJ114</f>
        <v>15</v>
      </c>
      <c r="C139" s="277"/>
      <c r="D139" s="44" t="s">
        <v>2</v>
      </c>
      <c r="E139" s="42" t="s">
        <v>0</v>
      </c>
      <c r="F139" s="42" t="s">
        <v>0</v>
      </c>
      <c r="G139" s="43" t="s">
        <v>2</v>
      </c>
      <c r="H139" s="43" t="s">
        <v>2</v>
      </c>
      <c r="I139" s="42" t="s">
        <v>2</v>
      </c>
      <c r="J139" s="42" t="s">
        <v>2</v>
      </c>
      <c r="K139" s="42" t="s">
        <v>2</v>
      </c>
      <c r="L139" s="42" t="s">
        <v>0</v>
      </c>
      <c r="M139" s="42" t="s">
        <v>0</v>
      </c>
      <c r="N139" s="43" t="s">
        <v>2</v>
      </c>
      <c r="O139" s="43" t="s">
        <v>2</v>
      </c>
      <c r="P139" s="42" t="s">
        <v>2</v>
      </c>
      <c r="Q139" s="42" t="s">
        <v>2</v>
      </c>
      <c r="R139" s="42" t="s">
        <v>2</v>
      </c>
      <c r="S139" s="42" t="s">
        <v>0</v>
      </c>
      <c r="T139" s="42" t="s">
        <v>0</v>
      </c>
      <c r="U139" s="43" t="s">
        <v>31</v>
      </c>
      <c r="V139" s="43" t="s">
        <v>31</v>
      </c>
      <c r="W139" s="42" t="s">
        <v>2</v>
      </c>
      <c r="X139" s="42" t="s">
        <v>2</v>
      </c>
      <c r="Y139" s="42" t="s">
        <v>2</v>
      </c>
      <c r="Z139" s="42" t="s">
        <v>0</v>
      </c>
      <c r="AA139" s="42" t="s">
        <v>0</v>
      </c>
      <c r="AB139" s="43" t="s">
        <v>2</v>
      </c>
      <c r="AC139" s="43" t="s">
        <v>2</v>
      </c>
      <c r="AD139" s="42" t="s">
        <v>2</v>
      </c>
      <c r="AE139" s="42" t="s">
        <v>2</v>
      </c>
      <c r="AF139" s="42" t="s">
        <v>2</v>
      </c>
      <c r="AG139" s="42" t="s">
        <v>0</v>
      </c>
      <c r="AH139" s="84" t="s">
        <v>0</v>
      </c>
      <c r="AI139" s="88">
        <f t="shared" ref="AI139:AI157" si="39">COUNTIF(D139:AH139,"V")</f>
        <v>2</v>
      </c>
      <c r="AJ139" s="60">
        <f t="shared" ref="AJ139:AJ157" si="40">B139-AI139</f>
        <v>13</v>
      </c>
    </row>
    <row r="140" spans="1:36" x14ac:dyDescent="0.25">
      <c r="A140" s="59" t="s">
        <v>16</v>
      </c>
      <c r="B140" s="207">
        <f t="shared" si="38"/>
        <v>11</v>
      </c>
      <c r="C140" s="277"/>
      <c r="D140" s="50" t="s">
        <v>2</v>
      </c>
      <c r="E140" s="36" t="s">
        <v>0</v>
      </c>
      <c r="F140" s="36" t="s">
        <v>0</v>
      </c>
      <c r="G140" s="35" t="s">
        <v>2</v>
      </c>
      <c r="H140" s="35" t="s">
        <v>2</v>
      </c>
      <c r="I140" s="35" t="s">
        <v>2</v>
      </c>
      <c r="J140" s="35" t="s">
        <v>2</v>
      </c>
      <c r="K140" s="35" t="s">
        <v>2</v>
      </c>
      <c r="L140" s="36" t="s">
        <v>0</v>
      </c>
      <c r="M140" s="36" t="s">
        <v>0</v>
      </c>
      <c r="N140" s="35" t="s">
        <v>2</v>
      </c>
      <c r="O140" s="35" t="s">
        <v>2</v>
      </c>
      <c r="P140" s="35" t="s">
        <v>2</v>
      </c>
      <c r="Q140" s="35" t="s">
        <v>2</v>
      </c>
      <c r="R140" s="35" t="s">
        <v>2</v>
      </c>
      <c r="S140" s="36" t="s">
        <v>0</v>
      </c>
      <c r="T140" s="36" t="s">
        <v>0</v>
      </c>
      <c r="U140" s="35" t="s">
        <v>2</v>
      </c>
      <c r="V140" s="35" t="s">
        <v>2</v>
      </c>
      <c r="W140" s="35" t="s">
        <v>2</v>
      </c>
      <c r="X140" s="35" t="s">
        <v>2</v>
      </c>
      <c r="Y140" s="35" t="s">
        <v>2</v>
      </c>
      <c r="Z140" s="36" t="s">
        <v>0</v>
      </c>
      <c r="AA140" s="36" t="s">
        <v>0</v>
      </c>
      <c r="AB140" s="35" t="s">
        <v>2</v>
      </c>
      <c r="AC140" s="35" t="s">
        <v>2</v>
      </c>
      <c r="AD140" s="35" t="s">
        <v>2</v>
      </c>
      <c r="AE140" s="35" t="s">
        <v>2</v>
      </c>
      <c r="AF140" s="35" t="s">
        <v>31</v>
      </c>
      <c r="AG140" s="36" t="s">
        <v>0</v>
      </c>
      <c r="AH140" s="82" t="s">
        <v>0</v>
      </c>
      <c r="AI140" s="76">
        <f t="shared" ref="AI140:AI144" si="41">COUNTIF(D140:AH140,"V")</f>
        <v>1</v>
      </c>
      <c r="AJ140" s="9">
        <f t="shared" ref="AJ140:AJ144" si="42">B140-AI140</f>
        <v>10</v>
      </c>
    </row>
    <row r="141" spans="1:36" ht="15.75" thickBot="1" x14ac:dyDescent="0.3">
      <c r="A141" s="57" t="s">
        <v>36</v>
      </c>
      <c r="B141" s="206">
        <f t="shared" si="38"/>
        <v>27</v>
      </c>
      <c r="C141" s="277"/>
      <c r="D141" s="47" t="s">
        <v>2</v>
      </c>
      <c r="E141" s="28" t="s">
        <v>0</v>
      </c>
      <c r="F141" s="28" t="s">
        <v>0</v>
      </c>
      <c r="G141" s="30" t="s">
        <v>2</v>
      </c>
      <c r="H141" s="30" t="s">
        <v>2</v>
      </c>
      <c r="I141" s="30" t="s">
        <v>2</v>
      </c>
      <c r="J141" s="30" t="s">
        <v>2</v>
      </c>
      <c r="K141" s="30" t="s">
        <v>31</v>
      </c>
      <c r="L141" s="28" t="s">
        <v>0</v>
      </c>
      <c r="M141" s="28" t="s">
        <v>0</v>
      </c>
      <c r="N141" s="30" t="s">
        <v>2</v>
      </c>
      <c r="O141" s="30" t="s">
        <v>2</v>
      </c>
      <c r="P141" s="30" t="s">
        <v>2</v>
      </c>
      <c r="Q141" s="30" t="s">
        <v>2</v>
      </c>
      <c r="R141" s="30" t="s">
        <v>2</v>
      </c>
      <c r="S141" s="28" t="s">
        <v>0</v>
      </c>
      <c r="T141" s="28" t="s">
        <v>0</v>
      </c>
      <c r="U141" s="30" t="s">
        <v>2</v>
      </c>
      <c r="V141" s="30" t="s">
        <v>2</v>
      </c>
      <c r="W141" s="30" t="s">
        <v>2</v>
      </c>
      <c r="X141" s="30" t="s">
        <v>2</v>
      </c>
      <c r="Y141" s="30" t="s">
        <v>2</v>
      </c>
      <c r="Z141" s="28" t="s">
        <v>0</v>
      </c>
      <c r="AA141" s="28" t="s">
        <v>0</v>
      </c>
      <c r="AB141" s="30" t="s">
        <v>2</v>
      </c>
      <c r="AC141" s="30" t="s">
        <v>2</v>
      </c>
      <c r="AD141" s="30" t="s">
        <v>2</v>
      </c>
      <c r="AE141" s="30" t="s">
        <v>2</v>
      </c>
      <c r="AF141" s="30" t="s">
        <v>2</v>
      </c>
      <c r="AG141" s="28" t="s">
        <v>0</v>
      </c>
      <c r="AH141" s="104" t="s">
        <v>0</v>
      </c>
      <c r="AI141" s="76">
        <f t="shared" si="41"/>
        <v>1</v>
      </c>
      <c r="AJ141" s="9">
        <f t="shared" si="42"/>
        <v>26</v>
      </c>
    </row>
    <row r="142" spans="1:36" x14ac:dyDescent="0.25">
      <c r="A142" s="64" t="s">
        <v>17</v>
      </c>
      <c r="B142" s="205">
        <f t="shared" si="38"/>
        <v>20</v>
      </c>
      <c r="C142" s="277"/>
      <c r="D142" s="44" t="s">
        <v>31</v>
      </c>
      <c r="E142" s="42" t="s">
        <v>31</v>
      </c>
      <c r="F142" s="42" t="s">
        <v>31</v>
      </c>
      <c r="G142" s="43" t="s">
        <v>0</v>
      </c>
      <c r="H142" s="43" t="s">
        <v>0</v>
      </c>
      <c r="I142" s="42" t="s">
        <v>2</v>
      </c>
      <c r="J142" s="42" t="s">
        <v>2</v>
      </c>
      <c r="K142" s="42" t="s">
        <v>2</v>
      </c>
      <c r="L142" s="42" t="s">
        <v>2</v>
      </c>
      <c r="M142" s="42" t="s">
        <v>2</v>
      </c>
      <c r="N142" s="42" t="s">
        <v>0</v>
      </c>
      <c r="O142" s="42" t="s">
        <v>0</v>
      </c>
      <c r="P142" s="42" t="s">
        <v>31</v>
      </c>
      <c r="Q142" s="42" t="s">
        <v>31</v>
      </c>
      <c r="R142" s="42" t="s">
        <v>31</v>
      </c>
      <c r="S142" s="42" t="s">
        <v>31</v>
      </c>
      <c r="T142" s="42" t="s">
        <v>31</v>
      </c>
      <c r="U142" s="43" t="s">
        <v>0</v>
      </c>
      <c r="V142" s="43" t="s">
        <v>0</v>
      </c>
      <c r="W142" s="42" t="s">
        <v>2</v>
      </c>
      <c r="X142" s="42" t="s">
        <v>2</v>
      </c>
      <c r="Y142" s="42" t="s">
        <v>2</v>
      </c>
      <c r="Z142" s="42" t="s">
        <v>2</v>
      </c>
      <c r="AA142" s="42" t="s">
        <v>2</v>
      </c>
      <c r="AB142" s="43" t="s">
        <v>0</v>
      </c>
      <c r="AC142" s="43" t="s">
        <v>0</v>
      </c>
      <c r="AD142" s="42" t="s">
        <v>2</v>
      </c>
      <c r="AE142" s="42" t="s">
        <v>2</v>
      </c>
      <c r="AF142" s="42" t="s">
        <v>2</v>
      </c>
      <c r="AG142" s="42" t="s">
        <v>2</v>
      </c>
      <c r="AH142" s="84" t="s">
        <v>2</v>
      </c>
      <c r="AI142" s="76">
        <f t="shared" si="41"/>
        <v>8</v>
      </c>
      <c r="AJ142" s="9">
        <f t="shared" si="42"/>
        <v>12</v>
      </c>
    </row>
    <row r="143" spans="1:36" x14ac:dyDescent="0.25">
      <c r="A143" s="59" t="s">
        <v>18</v>
      </c>
      <c r="B143" s="207">
        <f t="shared" si="38"/>
        <v>15</v>
      </c>
      <c r="C143" s="277"/>
      <c r="D143" s="50" t="s">
        <v>2</v>
      </c>
      <c r="E143" s="35" t="s">
        <v>2</v>
      </c>
      <c r="F143" s="35" t="s">
        <v>2</v>
      </c>
      <c r="G143" s="36" t="s">
        <v>0</v>
      </c>
      <c r="H143" s="36" t="s">
        <v>0</v>
      </c>
      <c r="I143" s="35" t="s">
        <v>2</v>
      </c>
      <c r="J143" s="35" t="s">
        <v>2</v>
      </c>
      <c r="K143" s="35" t="s">
        <v>2</v>
      </c>
      <c r="L143" s="35" t="s">
        <v>2</v>
      </c>
      <c r="M143" s="35" t="s">
        <v>31</v>
      </c>
      <c r="N143" s="36" t="s">
        <v>0</v>
      </c>
      <c r="O143" s="36" t="s">
        <v>0</v>
      </c>
      <c r="P143" s="35" t="s">
        <v>2</v>
      </c>
      <c r="Q143" s="35" t="s">
        <v>2</v>
      </c>
      <c r="R143" s="35" t="s">
        <v>2</v>
      </c>
      <c r="S143" s="35" t="s">
        <v>2</v>
      </c>
      <c r="T143" s="35" t="s">
        <v>2</v>
      </c>
      <c r="U143" s="36" t="s">
        <v>0</v>
      </c>
      <c r="V143" s="36" t="s">
        <v>0</v>
      </c>
      <c r="W143" s="35" t="s">
        <v>31</v>
      </c>
      <c r="X143" s="35" t="s">
        <v>2</v>
      </c>
      <c r="Y143" s="35" t="s">
        <v>2</v>
      </c>
      <c r="Z143" s="35" t="s">
        <v>2</v>
      </c>
      <c r="AA143" s="35" t="s">
        <v>2</v>
      </c>
      <c r="AB143" s="36" t="s">
        <v>0</v>
      </c>
      <c r="AC143" s="36" t="s">
        <v>0</v>
      </c>
      <c r="AD143" s="35" t="s">
        <v>2</v>
      </c>
      <c r="AE143" s="35" t="s">
        <v>2</v>
      </c>
      <c r="AF143" s="35" t="s">
        <v>2</v>
      </c>
      <c r="AG143" s="35" t="s">
        <v>2</v>
      </c>
      <c r="AH143" s="87" t="s">
        <v>2</v>
      </c>
      <c r="AI143" s="76">
        <f t="shared" si="41"/>
        <v>2</v>
      </c>
      <c r="AJ143" s="9">
        <f t="shared" si="42"/>
        <v>13</v>
      </c>
    </row>
    <row r="144" spans="1:36" ht="15.75" thickBot="1" x14ac:dyDescent="0.3">
      <c r="A144" s="57" t="s">
        <v>37</v>
      </c>
      <c r="B144" s="206">
        <f t="shared" si="38"/>
        <v>13</v>
      </c>
      <c r="C144" s="277"/>
      <c r="D144" s="47" t="s">
        <v>2</v>
      </c>
      <c r="E144" s="30" t="s">
        <v>2</v>
      </c>
      <c r="F144" s="30" t="s">
        <v>2</v>
      </c>
      <c r="G144" s="28" t="s">
        <v>0</v>
      </c>
      <c r="H144" s="28" t="s">
        <v>0</v>
      </c>
      <c r="I144" s="30" t="s">
        <v>2</v>
      </c>
      <c r="J144" s="30" t="s">
        <v>2</v>
      </c>
      <c r="K144" s="30" t="s">
        <v>2</v>
      </c>
      <c r="L144" s="30" t="s">
        <v>2</v>
      </c>
      <c r="M144" s="30" t="s">
        <v>2</v>
      </c>
      <c r="N144" s="28" t="s">
        <v>0</v>
      </c>
      <c r="O144" s="28" t="s">
        <v>0</v>
      </c>
      <c r="P144" s="30" t="s">
        <v>2</v>
      </c>
      <c r="Q144" s="30" t="s">
        <v>2</v>
      </c>
      <c r="R144" s="30" t="s">
        <v>2</v>
      </c>
      <c r="S144" s="30" t="s">
        <v>2</v>
      </c>
      <c r="T144" s="30" t="s">
        <v>2</v>
      </c>
      <c r="U144" s="28" t="s">
        <v>0</v>
      </c>
      <c r="V144" s="28" t="s">
        <v>0</v>
      </c>
      <c r="W144" s="30" t="s">
        <v>2</v>
      </c>
      <c r="X144" s="30" t="s">
        <v>2</v>
      </c>
      <c r="Y144" s="30" t="s">
        <v>2</v>
      </c>
      <c r="Z144" s="30" t="s">
        <v>2</v>
      </c>
      <c r="AA144" s="30" t="s">
        <v>2</v>
      </c>
      <c r="AB144" s="28" t="s">
        <v>0</v>
      </c>
      <c r="AC144" s="28" t="s">
        <v>0</v>
      </c>
      <c r="AD144" s="30" t="s">
        <v>2</v>
      </c>
      <c r="AE144" s="30" t="s">
        <v>2</v>
      </c>
      <c r="AF144" s="30" t="s">
        <v>2</v>
      </c>
      <c r="AG144" s="30" t="s">
        <v>2</v>
      </c>
      <c r="AH144" s="86" t="s">
        <v>2</v>
      </c>
      <c r="AI144" s="76">
        <f t="shared" si="41"/>
        <v>0</v>
      </c>
      <c r="AJ144" s="9">
        <f t="shared" si="42"/>
        <v>13</v>
      </c>
    </row>
    <row r="145" spans="1:36" x14ac:dyDescent="0.25">
      <c r="A145" s="168" t="s">
        <v>15</v>
      </c>
      <c r="B145" s="236">
        <f t="shared" si="38"/>
        <v>13</v>
      </c>
      <c r="C145" s="277"/>
      <c r="D145" s="170" t="s">
        <v>2</v>
      </c>
      <c r="E145" s="121" t="s">
        <v>2</v>
      </c>
      <c r="F145" s="122" t="s">
        <v>0</v>
      </c>
      <c r="G145" s="122" t="s">
        <v>0</v>
      </c>
      <c r="H145" s="121" t="s">
        <v>2</v>
      </c>
      <c r="I145" s="121" t="s">
        <v>2</v>
      </c>
      <c r="J145" s="121" t="s">
        <v>2</v>
      </c>
      <c r="K145" s="121" t="s">
        <v>2</v>
      </c>
      <c r="L145" s="121" t="s">
        <v>2</v>
      </c>
      <c r="M145" s="122" t="s">
        <v>0</v>
      </c>
      <c r="N145" s="122" t="s">
        <v>0</v>
      </c>
      <c r="O145" s="121" t="s">
        <v>2</v>
      </c>
      <c r="P145" s="121" t="s">
        <v>2</v>
      </c>
      <c r="Q145" s="121" t="s">
        <v>2</v>
      </c>
      <c r="R145" s="121" t="s">
        <v>2</v>
      </c>
      <c r="S145" s="121" t="s">
        <v>2</v>
      </c>
      <c r="T145" s="122" t="s">
        <v>0</v>
      </c>
      <c r="U145" s="122" t="s">
        <v>0</v>
      </c>
      <c r="V145" s="121" t="s">
        <v>2</v>
      </c>
      <c r="W145" s="121" t="s">
        <v>2</v>
      </c>
      <c r="X145" s="121" t="s">
        <v>38</v>
      </c>
      <c r="Y145" s="121" t="s">
        <v>38</v>
      </c>
      <c r="Z145" s="121" t="s">
        <v>38</v>
      </c>
      <c r="AA145" s="121" t="s">
        <v>38</v>
      </c>
      <c r="AB145" s="121" t="s">
        <v>38</v>
      </c>
      <c r="AC145" s="121" t="s">
        <v>38</v>
      </c>
      <c r="AD145" s="121" t="s">
        <v>38</v>
      </c>
      <c r="AE145" s="121" t="s">
        <v>38</v>
      </c>
      <c r="AF145" s="121" t="s">
        <v>38</v>
      </c>
      <c r="AG145" s="121" t="s">
        <v>38</v>
      </c>
      <c r="AH145" s="171" t="s">
        <v>0</v>
      </c>
      <c r="AI145" s="76">
        <f t="shared" si="39"/>
        <v>0</v>
      </c>
      <c r="AJ145" s="9">
        <f t="shared" si="40"/>
        <v>13</v>
      </c>
    </row>
    <row r="146" spans="1:36" ht="14.25" customHeight="1" x14ac:dyDescent="0.25">
      <c r="A146" s="52" t="s">
        <v>14</v>
      </c>
      <c r="B146" s="210">
        <f t="shared" si="38"/>
        <v>19</v>
      </c>
      <c r="C146" s="277"/>
      <c r="D146" s="50" t="s">
        <v>2</v>
      </c>
      <c r="E146" s="35" t="s">
        <v>2</v>
      </c>
      <c r="F146" s="36" t="s">
        <v>0</v>
      </c>
      <c r="G146" s="36" t="s">
        <v>0</v>
      </c>
      <c r="H146" s="35" t="s">
        <v>2</v>
      </c>
      <c r="I146" s="35" t="s">
        <v>2</v>
      </c>
      <c r="J146" s="35" t="s">
        <v>2</v>
      </c>
      <c r="K146" s="35" t="s">
        <v>2</v>
      </c>
      <c r="L146" s="35" t="s">
        <v>2</v>
      </c>
      <c r="M146" s="36" t="s">
        <v>0</v>
      </c>
      <c r="N146" s="36" t="s">
        <v>0</v>
      </c>
      <c r="O146" s="35" t="s">
        <v>2</v>
      </c>
      <c r="P146" s="35" t="s">
        <v>2</v>
      </c>
      <c r="Q146" s="35" t="s">
        <v>2</v>
      </c>
      <c r="R146" s="35" t="s">
        <v>2</v>
      </c>
      <c r="S146" s="35" t="s">
        <v>2</v>
      </c>
      <c r="T146" s="36" t="s">
        <v>0</v>
      </c>
      <c r="U146" s="36" t="s">
        <v>0</v>
      </c>
      <c r="V146" s="35" t="s">
        <v>2</v>
      </c>
      <c r="W146" s="35" t="s">
        <v>2</v>
      </c>
      <c r="X146" s="35" t="s">
        <v>2</v>
      </c>
      <c r="Y146" s="35" t="s">
        <v>2</v>
      </c>
      <c r="Z146" s="35" t="s">
        <v>2</v>
      </c>
      <c r="AA146" s="36" t="s">
        <v>0</v>
      </c>
      <c r="AB146" s="36" t="s">
        <v>0</v>
      </c>
      <c r="AC146" s="35" t="s">
        <v>2</v>
      </c>
      <c r="AD146" s="35" t="s">
        <v>2</v>
      </c>
      <c r="AE146" s="35" t="s">
        <v>2</v>
      </c>
      <c r="AF146" s="35" t="s">
        <v>2</v>
      </c>
      <c r="AG146" s="35" t="s">
        <v>2</v>
      </c>
      <c r="AH146" s="82" t="s">
        <v>0</v>
      </c>
      <c r="AI146" s="76">
        <f t="shared" si="39"/>
        <v>0</v>
      </c>
      <c r="AJ146" s="9">
        <f t="shared" si="40"/>
        <v>19</v>
      </c>
    </row>
    <row r="147" spans="1:36" ht="15.75" thickBot="1" x14ac:dyDescent="0.3">
      <c r="A147" s="49" t="s">
        <v>13</v>
      </c>
      <c r="B147" s="211">
        <f t="shared" si="38"/>
        <v>8</v>
      </c>
      <c r="C147" s="277"/>
      <c r="D147" s="47" t="s">
        <v>2</v>
      </c>
      <c r="E147" s="30" t="s">
        <v>2</v>
      </c>
      <c r="F147" s="28" t="s">
        <v>0</v>
      </c>
      <c r="G147" s="28" t="s">
        <v>0</v>
      </c>
      <c r="H147" s="30" t="s">
        <v>2</v>
      </c>
      <c r="I147" s="30" t="s">
        <v>2</v>
      </c>
      <c r="J147" s="30" t="s">
        <v>2</v>
      </c>
      <c r="K147" s="30" t="s">
        <v>2</v>
      </c>
      <c r="L147" s="30" t="s">
        <v>2</v>
      </c>
      <c r="M147" s="28" t="s">
        <v>0</v>
      </c>
      <c r="N147" s="28" t="s">
        <v>0</v>
      </c>
      <c r="O147" s="30" t="s">
        <v>2</v>
      </c>
      <c r="P147" s="30" t="s">
        <v>2</v>
      </c>
      <c r="Q147" s="30" t="s">
        <v>2</v>
      </c>
      <c r="R147" s="30" t="s">
        <v>2</v>
      </c>
      <c r="S147" s="30" t="s">
        <v>2</v>
      </c>
      <c r="T147" s="28" t="s">
        <v>0</v>
      </c>
      <c r="U147" s="28" t="s">
        <v>0</v>
      </c>
      <c r="V147" s="30" t="s">
        <v>2</v>
      </c>
      <c r="W147" s="30" t="s">
        <v>2</v>
      </c>
      <c r="X147" s="30" t="s">
        <v>2</v>
      </c>
      <c r="Y147" s="30" t="s">
        <v>2</v>
      </c>
      <c r="Z147" s="30" t="s">
        <v>2</v>
      </c>
      <c r="AA147" s="28" t="s">
        <v>0</v>
      </c>
      <c r="AB147" s="28" t="s">
        <v>0</v>
      </c>
      <c r="AC147" s="30" t="s">
        <v>2</v>
      </c>
      <c r="AD147" s="30" t="s">
        <v>2</v>
      </c>
      <c r="AE147" s="30" t="s">
        <v>2</v>
      </c>
      <c r="AF147" s="30" t="s">
        <v>2</v>
      </c>
      <c r="AG147" s="30" t="s">
        <v>2</v>
      </c>
      <c r="AH147" s="104" t="s">
        <v>0</v>
      </c>
      <c r="AI147" s="76">
        <f t="shared" si="39"/>
        <v>0</v>
      </c>
      <c r="AJ147" s="9">
        <f t="shared" si="40"/>
        <v>8</v>
      </c>
    </row>
    <row r="148" spans="1:36" x14ac:dyDescent="0.25">
      <c r="A148" s="46" t="s">
        <v>12</v>
      </c>
      <c r="B148" s="237">
        <f t="shared" si="38"/>
        <v>15</v>
      </c>
      <c r="C148" s="277"/>
      <c r="D148" s="44" t="s">
        <v>2</v>
      </c>
      <c r="E148" s="42" t="s">
        <v>2</v>
      </c>
      <c r="F148" s="42" t="s">
        <v>2</v>
      </c>
      <c r="G148" s="23" t="s">
        <v>2</v>
      </c>
      <c r="H148" s="23" t="s">
        <v>2</v>
      </c>
      <c r="I148" s="23" t="s">
        <v>2</v>
      </c>
      <c r="J148" s="43" t="s">
        <v>0</v>
      </c>
      <c r="K148" s="43" t="s">
        <v>0</v>
      </c>
      <c r="L148" s="43" t="s">
        <v>0</v>
      </c>
      <c r="M148" s="42" t="s">
        <v>2</v>
      </c>
      <c r="N148" s="42" t="s">
        <v>2</v>
      </c>
      <c r="O148" s="42" t="s">
        <v>2</v>
      </c>
      <c r="P148" s="41" t="s">
        <v>1</v>
      </c>
      <c r="Q148" s="41" t="s">
        <v>1</v>
      </c>
      <c r="R148" s="41" t="s">
        <v>1</v>
      </c>
      <c r="S148" s="43" t="s">
        <v>0</v>
      </c>
      <c r="T148" s="43" t="s">
        <v>0</v>
      </c>
      <c r="U148" s="43" t="s">
        <v>0</v>
      </c>
      <c r="V148" s="42" t="s">
        <v>2</v>
      </c>
      <c r="W148" s="42" t="s">
        <v>2</v>
      </c>
      <c r="X148" s="42" t="s">
        <v>2</v>
      </c>
      <c r="Y148" s="41" t="s">
        <v>1</v>
      </c>
      <c r="Z148" s="41" t="s">
        <v>1</v>
      </c>
      <c r="AA148" s="41" t="s">
        <v>1</v>
      </c>
      <c r="AB148" s="43" t="s">
        <v>0</v>
      </c>
      <c r="AC148" s="43" t="s">
        <v>0</v>
      </c>
      <c r="AD148" s="43" t="s">
        <v>0</v>
      </c>
      <c r="AE148" s="42" t="s">
        <v>2</v>
      </c>
      <c r="AF148" s="42" t="s">
        <v>2</v>
      </c>
      <c r="AG148" s="42" t="s">
        <v>2</v>
      </c>
      <c r="AH148" s="109" t="s">
        <v>1</v>
      </c>
      <c r="AI148" s="76">
        <f t="shared" si="39"/>
        <v>0</v>
      </c>
      <c r="AJ148" s="9">
        <f t="shared" si="40"/>
        <v>15</v>
      </c>
    </row>
    <row r="149" spans="1:36" x14ac:dyDescent="0.25">
      <c r="A149" s="40" t="s">
        <v>11</v>
      </c>
      <c r="B149" s="212">
        <f t="shared" si="38"/>
        <v>27</v>
      </c>
      <c r="C149" s="277"/>
      <c r="D149" s="38" t="s">
        <v>0</v>
      </c>
      <c r="E149" s="36" t="s">
        <v>0</v>
      </c>
      <c r="F149" s="36" t="s">
        <v>0</v>
      </c>
      <c r="G149" s="13" t="s">
        <v>1</v>
      </c>
      <c r="H149" s="13" t="s">
        <v>31</v>
      </c>
      <c r="I149" s="13" t="s">
        <v>31</v>
      </c>
      <c r="J149" s="13" t="s">
        <v>31</v>
      </c>
      <c r="K149" s="13" t="s">
        <v>31</v>
      </c>
      <c r="L149" s="13" t="s">
        <v>31</v>
      </c>
      <c r="M149" s="36" t="s">
        <v>0</v>
      </c>
      <c r="N149" s="36" t="s">
        <v>0</v>
      </c>
      <c r="O149" s="36" t="s">
        <v>0</v>
      </c>
      <c r="P149" s="35" t="s">
        <v>2</v>
      </c>
      <c r="Q149" s="35" t="s">
        <v>2</v>
      </c>
      <c r="R149" s="35" t="s">
        <v>2</v>
      </c>
      <c r="S149" s="37" t="s">
        <v>1</v>
      </c>
      <c r="T149" s="37" t="s">
        <v>1</v>
      </c>
      <c r="U149" s="37" t="s">
        <v>1</v>
      </c>
      <c r="V149" s="36" t="s">
        <v>0</v>
      </c>
      <c r="W149" s="36" t="s">
        <v>0</v>
      </c>
      <c r="X149" s="36" t="s">
        <v>0</v>
      </c>
      <c r="Y149" s="35" t="s">
        <v>2</v>
      </c>
      <c r="Z149" s="35" t="s">
        <v>2</v>
      </c>
      <c r="AA149" s="35" t="s">
        <v>2</v>
      </c>
      <c r="AB149" s="37" t="s">
        <v>1</v>
      </c>
      <c r="AC149" s="37" t="s">
        <v>1</v>
      </c>
      <c r="AD149" s="37" t="s">
        <v>1</v>
      </c>
      <c r="AE149" s="36" t="s">
        <v>0</v>
      </c>
      <c r="AF149" s="36" t="s">
        <v>0</v>
      </c>
      <c r="AG149" s="36" t="s">
        <v>0</v>
      </c>
      <c r="AH149" s="87" t="s">
        <v>2</v>
      </c>
      <c r="AI149" s="76">
        <f>COUNTIF(D149:AH149,"V")</f>
        <v>5</v>
      </c>
      <c r="AJ149" s="9">
        <f>B149-AI149</f>
        <v>22</v>
      </c>
    </row>
    <row r="150" spans="1:36" ht="15.75" thickBot="1" x14ac:dyDescent="0.3">
      <c r="A150" s="33" t="s">
        <v>10</v>
      </c>
      <c r="B150" s="238">
        <f t="shared" si="38"/>
        <v>19</v>
      </c>
      <c r="C150" s="277"/>
      <c r="D150" s="31" t="s">
        <v>1</v>
      </c>
      <c r="E150" s="29" t="s">
        <v>1</v>
      </c>
      <c r="F150" s="29" t="s">
        <v>31</v>
      </c>
      <c r="G150" s="28" t="s">
        <v>0</v>
      </c>
      <c r="H150" s="28" t="s">
        <v>0</v>
      </c>
      <c r="I150" s="28" t="s">
        <v>0</v>
      </c>
      <c r="J150" s="30" t="s">
        <v>2</v>
      </c>
      <c r="K150" s="30" t="s">
        <v>2</v>
      </c>
      <c r="L150" s="30" t="s">
        <v>2</v>
      </c>
      <c r="M150" s="29" t="s">
        <v>1</v>
      </c>
      <c r="N150" s="29" t="s">
        <v>1</v>
      </c>
      <c r="O150" s="29" t="s">
        <v>1</v>
      </c>
      <c r="P150" s="28" t="s">
        <v>0</v>
      </c>
      <c r="Q150" s="28" t="s">
        <v>0</v>
      </c>
      <c r="R150" s="28" t="s">
        <v>0</v>
      </c>
      <c r="S150" s="30" t="s">
        <v>2</v>
      </c>
      <c r="T150" s="30" t="s">
        <v>2</v>
      </c>
      <c r="U150" s="30" t="s">
        <v>2</v>
      </c>
      <c r="V150" s="29" t="s">
        <v>1</v>
      </c>
      <c r="W150" s="29" t="s">
        <v>1</v>
      </c>
      <c r="X150" s="29" t="s">
        <v>1</v>
      </c>
      <c r="Y150" s="28" t="s">
        <v>0</v>
      </c>
      <c r="Z150" s="28" t="s">
        <v>0</v>
      </c>
      <c r="AA150" s="28" t="s">
        <v>0</v>
      </c>
      <c r="AB150" s="30" t="s">
        <v>2</v>
      </c>
      <c r="AC150" s="30" t="s">
        <v>2</v>
      </c>
      <c r="AD150" s="30" t="s">
        <v>2</v>
      </c>
      <c r="AE150" s="29" t="s">
        <v>1</v>
      </c>
      <c r="AF150" s="29" t="s">
        <v>1</v>
      </c>
      <c r="AG150" s="29" t="s">
        <v>1</v>
      </c>
      <c r="AH150" s="104" t="s">
        <v>0</v>
      </c>
      <c r="AI150" s="76">
        <f t="shared" si="39"/>
        <v>1</v>
      </c>
      <c r="AJ150" s="9">
        <f t="shared" si="40"/>
        <v>18</v>
      </c>
    </row>
    <row r="151" spans="1:36" ht="15.75" thickBot="1" x14ac:dyDescent="0.3">
      <c r="A151" s="196" t="s">
        <v>7</v>
      </c>
      <c r="B151" s="221">
        <f>AJ127</f>
        <v>32</v>
      </c>
      <c r="C151" s="277"/>
      <c r="D151" s="108" t="s">
        <v>2</v>
      </c>
      <c r="E151" s="12" t="s">
        <v>0</v>
      </c>
      <c r="F151" s="12" t="s">
        <v>0</v>
      </c>
      <c r="G151" s="12" t="s">
        <v>2</v>
      </c>
      <c r="H151" s="12" t="s">
        <v>2</v>
      </c>
      <c r="I151" s="12" t="s">
        <v>2</v>
      </c>
      <c r="J151" s="12" t="s">
        <v>2</v>
      </c>
      <c r="K151" s="12" t="s">
        <v>2</v>
      </c>
      <c r="L151" s="13" t="s">
        <v>0</v>
      </c>
      <c r="M151" s="13" t="s">
        <v>0</v>
      </c>
      <c r="N151" s="12" t="s">
        <v>2</v>
      </c>
      <c r="O151" s="12" t="s">
        <v>2</v>
      </c>
      <c r="P151" s="12" t="s">
        <v>2</v>
      </c>
      <c r="Q151" s="12" t="s">
        <v>2</v>
      </c>
      <c r="R151" s="12" t="s">
        <v>2</v>
      </c>
      <c r="S151" s="13" t="s">
        <v>0</v>
      </c>
      <c r="T151" s="13" t="s">
        <v>0</v>
      </c>
      <c r="U151" s="12" t="s">
        <v>2</v>
      </c>
      <c r="V151" s="12" t="s">
        <v>2</v>
      </c>
      <c r="W151" s="12" t="s">
        <v>2</v>
      </c>
      <c r="X151" s="12" t="s">
        <v>2</v>
      </c>
      <c r="Y151" s="12" t="s">
        <v>2</v>
      </c>
      <c r="Z151" s="13" t="s">
        <v>0</v>
      </c>
      <c r="AA151" s="13" t="s">
        <v>0</v>
      </c>
      <c r="AB151" s="12" t="s">
        <v>2</v>
      </c>
      <c r="AC151" s="12" t="s">
        <v>2</v>
      </c>
      <c r="AD151" s="12" t="s">
        <v>2</v>
      </c>
      <c r="AE151" s="12" t="s">
        <v>31</v>
      </c>
      <c r="AF151" s="12" t="s">
        <v>2</v>
      </c>
      <c r="AG151" s="13" t="s">
        <v>0</v>
      </c>
      <c r="AH151" s="77" t="s">
        <v>0</v>
      </c>
      <c r="AI151" s="76">
        <f t="shared" ref="AI151" si="43">COUNTIF(D151:AH151,"V")</f>
        <v>1</v>
      </c>
      <c r="AJ151" s="9">
        <f t="shared" ref="AJ151" si="44">B151-AI151</f>
        <v>31</v>
      </c>
    </row>
    <row r="152" spans="1:36" x14ac:dyDescent="0.25">
      <c r="A152" s="26" t="s">
        <v>9</v>
      </c>
      <c r="B152" s="222">
        <f>AJ126</f>
        <v>32</v>
      </c>
      <c r="C152" s="277"/>
      <c r="D152" s="24" t="s">
        <v>0</v>
      </c>
      <c r="E152" s="23" t="s">
        <v>0</v>
      </c>
      <c r="F152" s="23" t="s">
        <v>2</v>
      </c>
      <c r="G152" s="23" t="s">
        <v>2</v>
      </c>
      <c r="H152" s="23" t="s">
        <v>2</v>
      </c>
      <c r="I152" s="23" t="s">
        <v>2</v>
      </c>
      <c r="J152" s="23" t="s">
        <v>2</v>
      </c>
      <c r="K152" s="23" t="s">
        <v>2</v>
      </c>
      <c r="L152" s="22" t="s">
        <v>0</v>
      </c>
      <c r="M152" s="22" t="s">
        <v>0</v>
      </c>
      <c r="N152" s="23" t="s">
        <v>0</v>
      </c>
      <c r="O152" s="23" t="s">
        <v>2</v>
      </c>
      <c r="P152" s="23" t="s">
        <v>2</v>
      </c>
      <c r="Q152" s="23" t="s">
        <v>2</v>
      </c>
      <c r="R152" s="23" t="s">
        <v>2</v>
      </c>
      <c r="S152" s="23" t="s">
        <v>2</v>
      </c>
      <c r="T152" s="23" t="s">
        <v>2</v>
      </c>
      <c r="U152" s="22" t="s">
        <v>0</v>
      </c>
      <c r="V152" s="22" t="s">
        <v>0</v>
      </c>
      <c r="W152" s="23" t="s">
        <v>0</v>
      </c>
      <c r="X152" s="23" t="s">
        <v>41</v>
      </c>
      <c r="Y152" s="23" t="s">
        <v>41</v>
      </c>
      <c r="Z152" s="23" t="s">
        <v>41</v>
      </c>
      <c r="AA152" s="23" t="s">
        <v>41</v>
      </c>
      <c r="AB152" s="23" t="s">
        <v>41</v>
      </c>
      <c r="AC152" s="23" t="s">
        <v>2</v>
      </c>
      <c r="AD152" s="22" t="s">
        <v>0</v>
      </c>
      <c r="AE152" s="22" t="s">
        <v>0</v>
      </c>
      <c r="AF152" s="23" t="s">
        <v>0</v>
      </c>
      <c r="AG152" s="23" t="s">
        <v>2</v>
      </c>
      <c r="AH152" s="101" t="s">
        <v>2</v>
      </c>
      <c r="AI152" s="76">
        <f t="shared" si="39"/>
        <v>0</v>
      </c>
      <c r="AJ152" s="9">
        <f t="shared" si="40"/>
        <v>32</v>
      </c>
    </row>
    <row r="153" spans="1:36" ht="15.75" thickBot="1" x14ac:dyDescent="0.3">
      <c r="A153" s="8" t="s">
        <v>4</v>
      </c>
      <c r="B153" s="223">
        <f>AJ133</f>
        <v>23</v>
      </c>
      <c r="C153" s="277"/>
      <c r="D153" s="174" t="s">
        <v>1</v>
      </c>
      <c r="E153" s="175" t="s">
        <v>0</v>
      </c>
      <c r="F153" s="175" t="s">
        <v>2</v>
      </c>
      <c r="G153" s="175" t="s">
        <v>0</v>
      </c>
      <c r="H153" s="175" t="s">
        <v>2</v>
      </c>
      <c r="I153" s="175" t="s">
        <v>0</v>
      </c>
      <c r="J153" s="175" t="s">
        <v>0</v>
      </c>
      <c r="K153" s="175" t="s">
        <v>0</v>
      </c>
      <c r="L153" s="176" t="s">
        <v>2</v>
      </c>
      <c r="M153" s="176" t="s">
        <v>2</v>
      </c>
      <c r="N153" s="176" t="s">
        <v>2</v>
      </c>
      <c r="O153" s="176" t="s">
        <v>2</v>
      </c>
      <c r="P153" s="175" t="s">
        <v>1</v>
      </c>
      <c r="Q153" s="175" t="s">
        <v>1</v>
      </c>
      <c r="R153" s="175" t="s">
        <v>0</v>
      </c>
      <c r="S153" s="175" t="s">
        <v>0</v>
      </c>
      <c r="T153" s="175" t="s">
        <v>0</v>
      </c>
      <c r="U153" s="175" t="s">
        <v>2</v>
      </c>
      <c r="V153" s="175" t="s">
        <v>2</v>
      </c>
      <c r="W153" s="175" t="s">
        <v>2</v>
      </c>
      <c r="X153" s="175" t="s">
        <v>2</v>
      </c>
      <c r="Y153" s="175" t="s">
        <v>1</v>
      </c>
      <c r="Z153" s="175" t="s">
        <v>1</v>
      </c>
      <c r="AA153" s="175" t="s">
        <v>0</v>
      </c>
      <c r="AB153" s="175" t="s">
        <v>0</v>
      </c>
      <c r="AC153" s="175" t="s">
        <v>0</v>
      </c>
      <c r="AD153" s="176" t="s">
        <v>2</v>
      </c>
      <c r="AE153" s="176" t="s">
        <v>2</v>
      </c>
      <c r="AF153" s="176" t="s">
        <v>2</v>
      </c>
      <c r="AG153" s="176" t="s">
        <v>2</v>
      </c>
      <c r="AH153" s="177" t="s">
        <v>2</v>
      </c>
      <c r="AI153" s="178">
        <f t="shared" ref="AI153" si="45">COUNTIF(D153:AH153,"V")</f>
        <v>0</v>
      </c>
      <c r="AJ153" s="179">
        <f t="shared" ref="AJ153" si="46">B153-AI153</f>
        <v>23</v>
      </c>
    </row>
    <row r="154" spans="1:36" ht="16.5" customHeight="1" x14ac:dyDescent="0.25">
      <c r="A154" s="26" t="s">
        <v>8</v>
      </c>
      <c r="B154" s="222">
        <v>24</v>
      </c>
      <c r="C154" s="277"/>
      <c r="D154" s="80" t="s">
        <v>1</v>
      </c>
      <c r="E154" s="23" t="s">
        <v>1</v>
      </c>
      <c r="F154" s="23" t="s">
        <v>1</v>
      </c>
      <c r="G154" s="23" t="s">
        <v>1</v>
      </c>
      <c r="H154" s="23" t="s">
        <v>1</v>
      </c>
      <c r="I154" s="23" t="s">
        <v>1</v>
      </c>
      <c r="J154" s="23" t="s">
        <v>0</v>
      </c>
      <c r="K154" s="23" t="s">
        <v>0</v>
      </c>
      <c r="L154" s="23" t="s">
        <v>0</v>
      </c>
      <c r="M154" s="22" t="s">
        <v>2</v>
      </c>
      <c r="N154" s="22" t="s">
        <v>2</v>
      </c>
      <c r="O154" s="22" t="s">
        <v>2</v>
      </c>
      <c r="P154" s="22" t="s">
        <v>2</v>
      </c>
      <c r="Q154" s="22" t="s">
        <v>2</v>
      </c>
      <c r="R154" s="22" t="s">
        <v>2</v>
      </c>
      <c r="S154" s="23" t="s">
        <v>0</v>
      </c>
      <c r="T154" s="23" t="s">
        <v>0</v>
      </c>
      <c r="U154" s="23" t="s">
        <v>0</v>
      </c>
      <c r="V154" s="23" t="s">
        <v>1</v>
      </c>
      <c r="W154" s="23" t="s">
        <v>1</v>
      </c>
      <c r="X154" s="23" t="s">
        <v>1</v>
      </c>
      <c r="Y154" s="23" t="s">
        <v>1</v>
      </c>
      <c r="Z154" s="23" t="s">
        <v>1</v>
      </c>
      <c r="AA154" s="23" t="s">
        <v>1</v>
      </c>
      <c r="AB154" s="23" t="s">
        <v>0</v>
      </c>
      <c r="AC154" s="23" t="s">
        <v>0</v>
      </c>
      <c r="AD154" s="23" t="s">
        <v>0</v>
      </c>
      <c r="AE154" s="22" t="s">
        <v>2</v>
      </c>
      <c r="AF154" s="22" t="s">
        <v>2</v>
      </c>
      <c r="AG154" s="22" t="s">
        <v>2</v>
      </c>
      <c r="AH154" s="79" t="s">
        <v>31</v>
      </c>
      <c r="AI154" s="88">
        <f t="shared" si="39"/>
        <v>1</v>
      </c>
      <c r="AJ154" s="60">
        <f t="shared" si="40"/>
        <v>23</v>
      </c>
    </row>
    <row r="155" spans="1:36" x14ac:dyDescent="0.25">
      <c r="A155" s="172" t="s">
        <v>33</v>
      </c>
      <c r="B155" s="221">
        <f>AJ129</f>
        <v>39</v>
      </c>
      <c r="C155" s="277"/>
      <c r="D155" s="13" t="s">
        <v>42</v>
      </c>
      <c r="E155" s="13" t="s">
        <v>42</v>
      </c>
      <c r="F155" s="13" t="s">
        <v>42</v>
      </c>
      <c r="G155" s="13" t="s">
        <v>42</v>
      </c>
      <c r="H155" s="13" t="s">
        <v>42</v>
      </c>
      <c r="I155" s="13" t="s">
        <v>42</v>
      </c>
      <c r="J155" s="13" t="s">
        <v>42</v>
      </c>
      <c r="K155" s="13" t="s">
        <v>42</v>
      </c>
      <c r="L155" s="13" t="s">
        <v>42</v>
      </c>
      <c r="M155" s="13" t="s">
        <v>42</v>
      </c>
      <c r="N155" s="13" t="s">
        <v>42</v>
      </c>
      <c r="O155" s="13" t="s">
        <v>42</v>
      </c>
      <c r="P155" s="13" t="s">
        <v>42</v>
      </c>
      <c r="Q155" s="13" t="s">
        <v>42</v>
      </c>
      <c r="R155" s="13" t="s">
        <v>42</v>
      </c>
      <c r="S155" s="13" t="s">
        <v>0</v>
      </c>
      <c r="T155" s="13" t="s">
        <v>0</v>
      </c>
      <c r="U155" s="13" t="s">
        <v>0</v>
      </c>
      <c r="V155" s="12" t="s">
        <v>2</v>
      </c>
      <c r="W155" s="12" t="s">
        <v>2</v>
      </c>
      <c r="X155" s="12" t="s">
        <v>2</v>
      </c>
      <c r="Y155" s="12" t="s">
        <v>2</v>
      </c>
      <c r="Z155" s="12" t="s">
        <v>2</v>
      </c>
      <c r="AA155" s="12" t="s">
        <v>2</v>
      </c>
      <c r="AB155" s="13" t="s">
        <v>0</v>
      </c>
      <c r="AC155" s="13" t="s">
        <v>0</v>
      </c>
      <c r="AD155" s="13" t="s">
        <v>0</v>
      </c>
      <c r="AE155" s="12" t="s">
        <v>1</v>
      </c>
      <c r="AF155" s="12" t="s">
        <v>1</v>
      </c>
      <c r="AG155" s="13" t="s">
        <v>1</v>
      </c>
      <c r="AH155" s="77" t="s">
        <v>1</v>
      </c>
      <c r="AI155" s="76">
        <f t="shared" si="39"/>
        <v>0</v>
      </c>
      <c r="AJ155" s="9">
        <f t="shared" si="40"/>
        <v>39</v>
      </c>
    </row>
    <row r="156" spans="1:36" ht="15.75" thickBot="1" x14ac:dyDescent="0.3">
      <c r="A156" s="172" t="s">
        <v>40</v>
      </c>
      <c r="B156" s="221">
        <v>10</v>
      </c>
      <c r="C156" s="277"/>
      <c r="D156" s="280"/>
      <c r="E156" s="281"/>
      <c r="F156" s="5" t="s">
        <v>0</v>
      </c>
      <c r="G156" s="5" t="s">
        <v>0</v>
      </c>
      <c r="H156" s="5" t="s">
        <v>2</v>
      </c>
      <c r="I156" s="5" t="s">
        <v>2</v>
      </c>
      <c r="J156" s="5" t="s">
        <v>2</v>
      </c>
      <c r="K156" s="5" t="s">
        <v>2</v>
      </c>
      <c r="L156" s="5" t="s">
        <v>2</v>
      </c>
      <c r="M156" s="5" t="s">
        <v>0</v>
      </c>
      <c r="N156" s="5" t="s">
        <v>0</v>
      </c>
      <c r="O156" s="5" t="s">
        <v>2</v>
      </c>
      <c r="P156" s="5" t="s">
        <v>2</v>
      </c>
      <c r="Q156" s="5" t="s">
        <v>2</v>
      </c>
      <c r="R156" s="5" t="s">
        <v>2</v>
      </c>
      <c r="S156" s="5" t="s">
        <v>2</v>
      </c>
      <c r="T156" s="5" t="s">
        <v>0</v>
      </c>
      <c r="U156" s="5" t="s">
        <v>0</v>
      </c>
      <c r="V156" s="5" t="s">
        <v>2</v>
      </c>
      <c r="W156" s="5" t="s">
        <v>2</v>
      </c>
      <c r="X156" s="5" t="s">
        <v>2</v>
      </c>
      <c r="Y156" s="5" t="s">
        <v>2</v>
      </c>
      <c r="Z156" s="5" t="s">
        <v>2</v>
      </c>
      <c r="AA156" s="5" t="s">
        <v>0</v>
      </c>
      <c r="AB156" s="5" t="s">
        <v>0</v>
      </c>
      <c r="AC156" s="5" t="s">
        <v>2</v>
      </c>
      <c r="AD156" s="5" t="s">
        <v>2</v>
      </c>
      <c r="AE156" s="5" t="s">
        <v>2</v>
      </c>
      <c r="AF156" s="5" t="s">
        <v>2</v>
      </c>
      <c r="AG156" s="5" t="s">
        <v>2</v>
      </c>
      <c r="AH156" s="5" t="s">
        <v>0</v>
      </c>
      <c r="AI156" s="76">
        <f t="shared" si="39"/>
        <v>0</v>
      </c>
      <c r="AJ156" s="9">
        <f t="shared" si="40"/>
        <v>10</v>
      </c>
    </row>
    <row r="157" spans="1:36" x14ac:dyDescent="0.25">
      <c r="A157" s="26" t="s">
        <v>6</v>
      </c>
      <c r="B157" s="222">
        <f>AJ130</f>
        <v>37</v>
      </c>
      <c r="C157" s="277"/>
      <c r="D157" s="80" t="s">
        <v>0</v>
      </c>
      <c r="E157" s="23" t="s">
        <v>0</v>
      </c>
      <c r="F157" s="23" t="s">
        <v>0</v>
      </c>
      <c r="G157" s="23" t="s">
        <v>0</v>
      </c>
      <c r="H157" s="23" t="s">
        <v>1</v>
      </c>
      <c r="I157" s="23" t="s">
        <v>1</v>
      </c>
      <c r="J157" s="23" t="s">
        <v>1</v>
      </c>
      <c r="K157" s="23" t="s">
        <v>1</v>
      </c>
      <c r="L157" s="23" t="s">
        <v>1</v>
      </c>
      <c r="M157" s="22" t="s">
        <v>0</v>
      </c>
      <c r="N157" s="22" t="s">
        <v>0</v>
      </c>
      <c r="O157" s="22" t="s">
        <v>0</v>
      </c>
      <c r="P157" s="23" t="s">
        <v>2</v>
      </c>
      <c r="Q157" s="23" t="s">
        <v>2</v>
      </c>
      <c r="R157" s="23" t="s">
        <v>2</v>
      </c>
      <c r="S157" s="23" t="s">
        <v>2</v>
      </c>
      <c r="T157" s="23" t="s">
        <v>2</v>
      </c>
      <c r="U157" s="23" t="s">
        <v>2</v>
      </c>
      <c r="V157" s="23" t="s">
        <v>0</v>
      </c>
      <c r="W157" s="23" t="s">
        <v>0</v>
      </c>
      <c r="X157" s="23" t="s">
        <v>0</v>
      </c>
      <c r="Y157" s="23" t="s">
        <v>31</v>
      </c>
      <c r="Z157" s="23" t="s">
        <v>31</v>
      </c>
      <c r="AA157" s="23" t="s">
        <v>31</v>
      </c>
      <c r="AB157" s="23" t="s">
        <v>31</v>
      </c>
      <c r="AC157" s="23" t="s">
        <v>1</v>
      </c>
      <c r="AD157" s="23" t="s">
        <v>1</v>
      </c>
      <c r="AE157" s="22" t="s">
        <v>0</v>
      </c>
      <c r="AF157" s="22" t="s">
        <v>0</v>
      </c>
      <c r="AG157" s="22" t="s">
        <v>0</v>
      </c>
      <c r="AH157" s="101" t="s">
        <v>2</v>
      </c>
      <c r="AI157" s="88">
        <f t="shared" si="39"/>
        <v>4</v>
      </c>
      <c r="AJ157" s="60">
        <f t="shared" si="40"/>
        <v>33</v>
      </c>
    </row>
    <row r="158" spans="1:36" x14ac:dyDescent="0.25">
      <c r="A158" s="16" t="s">
        <v>5</v>
      </c>
      <c r="B158" s="214">
        <f>AJ131</f>
        <v>31</v>
      </c>
      <c r="C158" s="277"/>
      <c r="D158" s="14" t="s">
        <v>0</v>
      </c>
      <c r="E158" s="13" t="s">
        <v>0</v>
      </c>
      <c r="F158" s="13" t="s">
        <v>0</v>
      </c>
      <c r="G158" s="13" t="s">
        <v>2</v>
      </c>
      <c r="H158" s="13" t="s">
        <v>2</v>
      </c>
      <c r="I158" s="13" t="s">
        <v>2</v>
      </c>
      <c r="J158" s="13" t="s">
        <v>2</v>
      </c>
      <c r="K158" s="13" t="s">
        <v>2</v>
      </c>
      <c r="L158" s="13" t="s">
        <v>2</v>
      </c>
      <c r="M158" s="12" t="s">
        <v>0</v>
      </c>
      <c r="N158" s="12" t="s">
        <v>0</v>
      </c>
      <c r="O158" s="12" t="s">
        <v>0</v>
      </c>
      <c r="P158" s="13" t="s">
        <v>1</v>
      </c>
      <c r="Q158" s="13" t="s">
        <v>1</v>
      </c>
      <c r="R158" s="13" t="s">
        <v>1</v>
      </c>
      <c r="S158" s="13" t="s">
        <v>1</v>
      </c>
      <c r="T158" s="13" t="s">
        <v>1</v>
      </c>
      <c r="U158" s="13" t="s">
        <v>1</v>
      </c>
      <c r="V158" s="13" t="s">
        <v>0</v>
      </c>
      <c r="W158" s="13" t="s">
        <v>0</v>
      </c>
      <c r="X158" s="13" t="s">
        <v>0</v>
      </c>
      <c r="Y158" s="13" t="s">
        <v>2</v>
      </c>
      <c r="Z158" s="13" t="s">
        <v>2</v>
      </c>
      <c r="AA158" s="13" t="s">
        <v>2</v>
      </c>
      <c r="AB158" s="13" t="s">
        <v>2</v>
      </c>
      <c r="AC158" s="13" t="s">
        <v>2</v>
      </c>
      <c r="AD158" s="13" t="s">
        <v>2</v>
      </c>
      <c r="AE158" s="12" t="s">
        <v>0</v>
      </c>
      <c r="AF158" s="12" t="s">
        <v>0</v>
      </c>
      <c r="AG158" s="12" t="s">
        <v>0</v>
      </c>
      <c r="AH158" s="77" t="s">
        <v>1</v>
      </c>
      <c r="AI158" s="76">
        <f t="shared" ref="AI158" si="47">COUNTIF(D158:AH158,"V")</f>
        <v>0</v>
      </c>
      <c r="AJ158" s="9">
        <f t="shared" ref="AJ158" si="48">B158-AI158</f>
        <v>31</v>
      </c>
    </row>
    <row r="159" spans="1:36" ht="15.75" thickBot="1" x14ac:dyDescent="0.3">
      <c r="A159" s="8" t="s">
        <v>43</v>
      </c>
      <c r="B159" s="223"/>
      <c r="C159" s="277"/>
      <c r="D159" s="6" t="s">
        <v>2</v>
      </c>
      <c r="E159" s="5" t="s">
        <v>1</v>
      </c>
      <c r="F159" s="5" t="s">
        <v>0</v>
      </c>
      <c r="G159" s="5" t="s">
        <v>0</v>
      </c>
      <c r="H159" s="5" t="s">
        <v>0</v>
      </c>
      <c r="I159" s="5" t="s">
        <v>2</v>
      </c>
      <c r="J159" s="5" t="s">
        <v>2</v>
      </c>
      <c r="K159" s="5" t="s">
        <v>2</v>
      </c>
      <c r="L159" s="5" t="s">
        <v>2</v>
      </c>
      <c r="M159" s="5" t="s">
        <v>2</v>
      </c>
      <c r="N159" s="5" t="s">
        <v>2</v>
      </c>
      <c r="O159" s="5" t="s">
        <v>0</v>
      </c>
      <c r="P159" s="5" t="s">
        <v>0</v>
      </c>
      <c r="Q159" s="5" t="s">
        <v>0</v>
      </c>
      <c r="R159" s="5" t="s">
        <v>2</v>
      </c>
      <c r="S159" s="5" t="s">
        <v>2</v>
      </c>
      <c r="T159" s="5" t="s">
        <v>1</v>
      </c>
      <c r="U159" s="5" t="s">
        <v>1</v>
      </c>
      <c r="V159" s="5" t="s">
        <v>1</v>
      </c>
      <c r="W159" s="5" t="s">
        <v>1</v>
      </c>
      <c r="X159" s="5" t="s">
        <v>0</v>
      </c>
      <c r="Y159" s="5" t="s">
        <v>0</v>
      </c>
      <c r="Z159" s="5" t="s">
        <v>0</v>
      </c>
      <c r="AA159" s="5" t="s">
        <v>1</v>
      </c>
      <c r="AB159" s="5" t="s">
        <v>1</v>
      </c>
      <c r="AC159" s="5" t="s">
        <v>1</v>
      </c>
      <c r="AD159" s="5" t="s">
        <v>1</v>
      </c>
      <c r="AE159" s="5" t="s">
        <v>1</v>
      </c>
      <c r="AF159" s="5" t="s">
        <v>1</v>
      </c>
      <c r="AG159" s="4" t="s">
        <v>0</v>
      </c>
      <c r="AH159" s="96" t="s">
        <v>0</v>
      </c>
      <c r="AI159" s="76">
        <f t="shared" ref="AI159:AI161" si="49">COUNTIF(D159:AH159,"V")</f>
        <v>0</v>
      </c>
      <c r="AJ159" s="9">
        <f t="shared" ref="AJ159:AJ161" si="50">B159-AI159</f>
        <v>0</v>
      </c>
    </row>
    <row r="160" spans="1:36" x14ac:dyDescent="0.25">
      <c r="A160" s="26" t="s">
        <v>3</v>
      </c>
      <c r="B160" s="25">
        <f>AJ131</f>
        <v>31</v>
      </c>
      <c r="C160" s="278"/>
      <c r="D160" s="80" t="s">
        <v>2</v>
      </c>
      <c r="E160" s="23" t="s">
        <v>2</v>
      </c>
      <c r="F160" s="23" t="s">
        <v>2</v>
      </c>
      <c r="G160" s="22" t="s">
        <v>0</v>
      </c>
      <c r="H160" s="22" t="s">
        <v>0</v>
      </c>
      <c r="I160" s="22" t="s">
        <v>0</v>
      </c>
      <c r="J160" s="23" t="s">
        <v>1</v>
      </c>
      <c r="K160" s="23" t="s">
        <v>1</v>
      </c>
      <c r="L160" s="23" t="s">
        <v>1</v>
      </c>
      <c r="M160" s="23" t="s">
        <v>1</v>
      </c>
      <c r="N160" s="23" t="s">
        <v>1</v>
      </c>
      <c r="O160" s="23" t="s">
        <v>1</v>
      </c>
      <c r="P160" s="22" t="s">
        <v>0</v>
      </c>
      <c r="Q160" s="22" t="s">
        <v>0</v>
      </c>
      <c r="R160" s="22" t="s">
        <v>0</v>
      </c>
      <c r="S160" s="23" t="s">
        <v>2</v>
      </c>
      <c r="T160" s="23" t="s">
        <v>2</v>
      </c>
      <c r="U160" s="23" t="s">
        <v>2</v>
      </c>
      <c r="V160" s="23" t="s">
        <v>2</v>
      </c>
      <c r="W160" s="23" t="s">
        <v>2</v>
      </c>
      <c r="X160" s="23" t="s">
        <v>2</v>
      </c>
      <c r="Y160" s="22" t="s">
        <v>0</v>
      </c>
      <c r="Z160" s="22" t="s">
        <v>0</v>
      </c>
      <c r="AA160" s="22" t="s">
        <v>0</v>
      </c>
      <c r="AB160" s="23" t="s">
        <v>31</v>
      </c>
      <c r="AC160" s="23" t="s">
        <v>31</v>
      </c>
      <c r="AD160" s="23" t="s">
        <v>31</v>
      </c>
      <c r="AE160" s="23" t="s">
        <v>31</v>
      </c>
      <c r="AF160" s="23" t="s">
        <v>31</v>
      </c>
      <c r="AG160" s="23" t="s">
        <v>2</v>
      </c>
      <c r="AH160" s="79" t="s">
        <v>0</v>
      </c>
      <c r="AI160" s="76">
        <f t="shared" si="49"/>
        <v>5</v>
      </c>
      <c r="AJ160" s="9">
        <f t="shared" si="50"/>
        <v>26</v>
      </c>
    </row>
    <row r="161" spans="1:36" ht="15.75" thickBot="1" x14ac:dyDescent="0.3">
      <c r="A161" s="8" t="s">
        <v>39</v>
      </c>
      <c r="B161" s="239">
        <f>AJ135</f>
        <v>17</v>
      </c>
      <c r="C161" s="279"/>
      <c r="D161" s="75" t="s">
        <v>2</v>
      </c>
      <c r="E161" s="4" t="s">
        <v>2</v>
      </c>
      <c r="F161" s="4" t="s">
        <v>2</v>
      </c>
      <c r="G161" s="4" t="s">
        <v>0</v>
      </c>
      <c r="H161" s="4" t="s">
        <v>0</v>
      </c>
      <c r="I161" s="4" t="s">
        <v>0</v>
      </c>
      <c r="J161" s="4" t="s">
        <v>2</v>
      </c>
      <c r="K161" s="4" t="s">
        <v>2</v>
      </c>
      <c r="L161" s="4" t="s">
        <v>2</v>
      </c>
      <c r="M161" s="5" t="s">
        <v>1</v>
      </c>
      <c r="N161" s="5" t="s">
        <v>1</v>
      </c>
      <c r="O161" s="5" t="s">
        <v>1</v>
      </c>
      <c r="P161" s="4" t="s">
        <v>0</v>
      </c>
      <c r="Q161" s="4" t="s">
        <v>0</v>
      </c>
      <c r="R161" s="4" t="s">
        <v>0</v>
      </c>
      <c r="S161" s="4" t="s">
        <v>2</v>
      </c>
      <c r="T161" s="4" t="s">
        <v>2</v>
      </c>
      <c r="U161" s="4" t="s">
        <v>2</v>
      </c>
      <c r="V161" s="5" t="s">
        <v>1</v>
      </c>
      <c r="W161" s="5" t="s">
        <v>1</v>
      </c>
      <c r="X161" s="5" t="s">
        <v>1</v>
      </c>
      <c r="Y161" s="4" t="s">
        <v>0</v>
      </c>
      <c r="Z161" s="4" t="s">
        <v>0</v>
      </c>
      <c r="AA161" s="4" t="s">
        <v>0</v>
      </c>
      <c r="AB161" s="4" t="s">
        <v>2</v>
      </c>
      <c r="AC161" s="4" t="s">
        <v>2</v>
      </c>
      <c r="AD161" s="4" t="s">
        <v>2</v>
      </c>
      <c r="AE161" s="5" t="s">
        <v>1</v>
      </c>
      <c r="AF161" s="5" t="s">
        <v>1</v>
      </c>
      <c r="AG161" s="5" t="s">
        <v>1</v>
      </c>
      <c r="AH161" s="74" t="s">
        <v>0</v>
      </c>
      <c r="AI161" s="76">
        <f t="shared" si="49"/>
        <v>0</v>
      </c>
      <c r="AJ161" s="9">
        <f t="shared" si="50"/>
        <v>17</v>
      </c>
    </row>
    <row r="162" spans="1:36" ht="21.75" thickBot="1" x14ac:dyDescent="0.3">
      <c r="A162" s="91"/>
      <c r="B162" s="91"/>
      <c r="C162" s="93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1"/>
      <c r="AJ162" s="91"/>
    </row>
    <row r="163" spans="1:36" ht="15" customHeight="1" x14ac:dyDescent="0.25">
      <c r="A163" s="240" t="s">
        <v>30</v>
      </c>
      <c r="B163" s="242" t="s">
        <v>29</v>
      </c>
      <c r="C163" s="272">
        <v>45962</v>
      </c>
      <c r="D163" s="72" t="s">
        <v>27</v>
      </c>
      <c r="E163" s="71" t="s">
        <v>26</v>
      </c>
      <c r="F163" s="71" t="s">
        <v>25</v>
      </c>
      <c r="G163" s="71" t="s">
        <v>24</v>
      </c>
      <c r="H163" s="71" t="s">
        <v>23</v>
      </c>
      <c r="I163" s="71" t="s">
        <v>22</v>
      </c>
      <c r="J163" s="71" t="s">
        <v>28</v>
      </c>
      <c r="K163" s="71" t="s">
        <v>27</v>
      </c>
      <c r="L163" s="71" t="s">
        <v>26</v>
      </c>
      <c r="M163" s="71" t="s">
        <v>25</v>
      </c>
      <c r="N163" s="71" t="s">
        <v>24</v>
      </c>
      <c r="O163" s="71" t="s">
        <v>23</v>
      </c>
      <c r="P163" s="71" t="s">
        <v>22</v>
      </c>
      <c r="Q163" s="71" t="s">
        <v>28</v>
      </c>
      <c r="R163" s="71" t="s">
        <v>27</v>
      </c>
      <c r="S163" s="71" t="s">
        <v>26</v>
      </c>
      <c r="T163" s="71" t="s">
        <v>25</v>
      </c>
      <c r="U163" s="71" t="s">
        <v>24</v>
      </c>
      <c r="V163" s="71" t="s">
        <v>23</v>
      </c>
      <c r="W163" s="71" t="s">
        <v>22</v>
      </c>
      <c r="X163" s="71" t="s">
        <v>28</v>
      </c>
      <c r="Y163" s="71" t="s">
        <v>27</v>
      </c>
      <c r="Z163" s="71" t="s">
        <v>26</v>
      </c>
      <c r="AA163" s="71" t="s">
        <v>25</v>
      </c>
      <c r="AB163" s="71" t="s">
        <v>24</v>
      </c>
      <c r="AC163" s="71" t="s">
        <v>23</v>
      </c>
      <c r="AD163" s="71" t="s">
        <v>22</v>
      </c>
      <c r="AE163" s="71" t="s">
        <v>28</v>
      </c>
      <c r="AF163" s="71" t="s">
        <v>27</v>
      </c>
      <c r="AG163" s="70" t="s">
        <v>26</v>
      </c>
      <c r="AH163" s="114"/>
      <c r="AI163" s="248" t="s">
        <v>21</v>
      </c>
      <c r="AJ163" s="250" t="s">
        <v>20</v>
      </c>
    </row>
    <row r="164" spans="1:36" ht="15.75" thickBot="1" x14ac:dyDescent="0.3">
      <c r="A164" s="241"/>
      <c r="B164" s="243"/>
      <c r="C164" s="273"/>
      <c r="D164" s="68">
        <v>1</v>
      </c>
      <c r="E164" s="67">
        <v>2</v>
      </c>
      <c r="F164" s="67">
        <v>3</v>
      </c>
      <c r="G164" s="67">
        <v>4</v>
      </c>
      <c r="H164" s="67">
        <v>5</v>
      </c>
      <c r="I164" s="67">
        <v>6</v>
      </c>
      <c r="J164" s="67">
        <v>7</v>
      </c>
      <c r="K164" s="67">
        <v>8</v>
      </c>
      <c r="L164" s="67">
        <v>9</v>
      </c>
      <c r="M164" s="67">
        <v>10</v>
      </c>
      <c r="N164" s="67">
        <v>11</v>
      </c>
      <c r="O164" s="67">
        <v>12</v>
      </c>
      <c r="P164" s="67">
        <v>13</v>
      </c>
      <c r="Q164" s="67">
        <v>14</v>
      </c>
      <c r="R164" s="67">
        <v>15</v>
      </c>
      <c r="S164" s="67">
        <v>16</v>
      </c>
      <c r="T164" s="67">
        <v>17</v>
      </c>
      <c r="U164" s="67">
        <v>18</v>
      </c>
      <c r="V164" s="67">
        <v>19</v>
      </c>
      <c r="W164" s="67">
        <v>20</v>
      </c>
      <c r="X164" s="67">
        <v>21</v>
      </c>
      <c r="Y164" s="67">
        <v>22</v>
      </c>
      <c r="Z164" s="67">
        <v>23</v>
      </c>
      <c r="AA164" s="67">
        <v>24</v>
      </c>
      <c r="AB164" s="67">
        <v>25</v>
      </c>
      <c r="AC164" s="67">
        <v>26</v>
      </c>
      <c r="AD164" s="67">
        <v>27</v>
      </c>
      <c r="AE164" s="67">
        <v>28</v>
      </c>
      <c r="AF164" s="67">
        <v>29</v>
      </c>
      <c r="AG164" s="66">
        <v>30</v>
      </c>
      <c r="AH164" s="112"/>
      <c r="AI164" s="249"/>
      <c r="AJ164" s="251"/>
    </row>
    <row r="165" spans="1:36" ht="15.75" thickBot="1" x14ac:dyDescent="0.3">
      <c r="A165" s="64" t="s">
        <v>19</v>
      </c>
      <c r="B165" s="63">
        <f t="shared" ref="B165:B173" si="51">AJ139</f>
        <v>13</v>
      </c>
      <c r="C165" s="273"/>
      <c r="D165" s="85" t="s">
        <v>2</v>
      </c>
      <c r="E165" s="43" t="s">
        <v>2</v>
      </c>
      <c r="F165" s="42" t="s">
        <v>2</v>
      </c>
      <c r="G165" s="42" t="s">
        <v>2</v>
      </c>
      <c r="H165" s="42" t="s">
        <v>2</v>
      </c>
      <c r="I165" s="42" t="s">
        <v>0</v>
      </c>
      <c r="J165" s="42" t="s">
        <v>0</v>
      </c>
      <c r="K165" s="43" t="s">
        <v>2</v>
      </c>
      <c r="L165" s="43" t="s">
        <v>2</v>
      </c>
      <c r="M165" s="42" t="s">
        <v>2</v>
      </c>
      <c r="N165" s="42" t="s">
        <v>2</v>
      </c>
      <c r="O165" s="42" t="s">
        <v>2</v>
      </c>
      <c r="P165" s="42" t="s">
        <v>0</v>
      </c>
      <c r="Q165" s="42" t="s">
        <v>0</v>
      </c>
      <c r="R165" s="43" t="s">
        <v>2</v>
      </c>
      <c r="S165" s="43" t="s">
        <v>2</v>
      </c>
      <c r="T165" s="42" t="s">
        <v>2</v>
      </c>
      <c r="U165" s="42" t="s">
        <v>2</v>
      </c>
      <c r="V165" s="42" t="s">
        <v>2</v>
      </c>
      <c r="W165" s="42" t="s">
        <v>0</v>
      </c>
      <c r="X165" s="42" t="s">
        <v>0</v>
      </c>
      <c r="Y165" s="43" t="s">
        <v>2</v>
      </c>
      <c r="Z165" s="43" t="s">
        <v>2</v>
      </c>
      <c r="AA165" s="42" t="s">
        <v>2</v>
      </c>
      <c r="AB165" s="42" t="s">
        <v>2</v>
      </c>
      <c r="AC165" s="42" t="s">
        <v>2</v>
      </c>
      <c r="AD165" s="42" t="s">
        <v>0</v>
      </c>
      <c r="AE165" s="42" t="s">
        <v>0</v>
      </c>
      <c r="AF165" s="43" t="s">
        <v>2</v>
      </c>
      <c r="AG165" s="103" t="s">
        <v>2</v>
      </c>
      <c r="AH165" s="112"/>
      <c r="AI165" s="61">
        <f t="shared" ref="AI165:AI182" si="52">COUNTIF(D165:AG165,"V")</f>
        <v>0</v>
      </c>
      <c r="AJ165" s="60">
        <f t="shared" ref="AJ165:AJ182" si="53">B165-AI165</f>
        <v>13</v>
      </c>
    </row>
    <row r="166" spans="1:36" ht="15.75" thickBot="1" x14ac:dyDescent="0.3">
      <c r="A166" s="59" t="s">
        <v>16</v>
      </c>
      <c r="B166" s="58">
        <f t="shared" si="51"/>
        <v>10</v>
      </c>
      <c r="C166" s="273"/>
      <c r="D166" s="47" t="s">
        <v>2</v>
      </c>
      <c r="E166" s="30" t="s">
        <v>2</v>
      </c>
      <c r="F166" s="30" t="s">
        <v>2</v>
      </c>
      <c r="G166" s="30" t="s">
        <v>2</v>
      </c>
      <c r="H166" s="30" t="s">
        <v>2</v>
      </c>
      <c r="I166" s="28" t="s">
        <v>0</v>
      </c>
      <c r="J166" s="28" t="s">
        <v>0</v>
      </c>
      <c r="K166" s="30" t="s">
        <v>2</v>
      </c>
      <c r="L166" s="30" t="s">
        <v>2</v>
      </c>
      <c r="M166" s="30" t="s">
        <v>2</v>
      </c>
      <c r="N166" s="30" t="s">
        <v>2</v>
      </c>
      <c r="O166" s="30" t="s">
        <v>2</v>
      </c>
      <c r="P166" s="28" t="s">
        <v>0</v>
      </c>
      <c r="Q166" s="28" t="s">
        <v>0</v>
      </c>
      <c r="R166" s="30" t="s">
        <v>2</v>
      </c>
      <c r="S166" s="30" t="s">
        <v>2</v>
      </c>
      <c r="T166" s="30" t="s">
        <v>2</v>
      </c>
      <c r="U166" s="30" t="s">
        <v>2</v>
      </c>
      <c r="V166" s="30" t="s">
        <v>2</v>
      </c>
      <c r="W166" s="28" t="s">
        <v>0</v>
      </c>
      <c r="X166" s="28" t="s">
        <v>0</v>
      </c>
      <c r="Y166" s="30" t="s">
        <v>2</v>
      </c>
      <c r="Z166" s="30" t="s">
        <v>2</v>
      </c>
      <c r="AA166" s="30" t="s">
        <v>2</v>
      </c>
      <c r="AB166" s="30" t="s">
        <v>2</v>
      </c>
      <c r="AC166" s="30" t="s">
        <v>31</v>
      </c>
      <c r="AD166" s="30" t="s">
        <v>0</v>
      </c>
      <c r="AE166" s="30" t="s">
        <v>0</v>
      </c>
      <c r="AF166" s="30" t="s">
        <v>31</v>
      </c>
      <c r="AG166" s="86" t="s">
        <v>31</v>
      </c>
      <c r="AH166" s="112"/>
      <c r="AI166" s="10">
        <f t="shared" ref="AI166:AI170" si="54">COUNTIF(D166:AG166,"V")</f>
        <v>3</v>
      </c>
      <c r="AJ166" s="60">
        <f t="shared" si="53"/>
        <v>7</v>
      </c>
    </row>
    <row r="167" spans="1:36" ht="15.75" thickBot="1" x14ac:dyDescent="0.3">
      <c r="A167" s="59" t="s">
        <v>36</v>
      </c>
      <c r="B167" s="58">
        <f t="shared" si="51"/>
        <v>26</v>
      </c>
      <c r="C167" s="273"/>
      <c r="D167" s="47" t="s">
        <v>2</v>
      </c>
      <c r="E167" s="30" t="s">
        <v>2</v>
      </c>
      <c r="F167" s="30" t="s">
        <v>2</v>
      </c>
      <c r="G167" s="30" t="s">
        <v>2</v>
      </c>
      <c r="H167" s="30" t="s">
        <v>2</v>
      </c>
      <c r="I167" s="28" t="s">
        <v>0</v>
      </c>
      <c r="J167" s="28" t="s">
        <v>0</v>
      </c>
      <c r="K167" s="30" t="s">
        <v>2</v>
      </c>
      <c r="L167" s="30" t="s">
        <v>2</v>
      </c>
      <c r="M167" s="30" t="s">
        <v>2</v>
      </c>
      <c r="N167" s="30" t="s">
        <v>2</v>
      </c>
      <c r="O167" s="30" t="s">
        <v>2</v>
      </c>
      <c r="P167" s="28" t="s">
        <v>0</v>
      </c>
      <c r="Q167" s="28" t="s">
        <v>0</v>
      </c>
      <c r="R167" s="30" t="s">
        <v>2</v>
      </c>
      <c r="S167" s="30" t="s">
        <v>2</v>
      </c>
      <c r="T167" s="30" t="s">
        <v>2</v>
      </c>
      <c r="U167" s="30" t="s">
        <v>2</v>
      </c>
      <c r="V167" s="30" t="s">
        <v>2</v>
      </c>
      <c r="W167" s="28" t="s">
        <v>0</v>
      </c>
      <c r="X167" s="28" t="s">
        <v>0</v>
      </c>
      <c r="Y167" s="30" t="s">
        <v>2</v>
      </c>
      <c r="Z167" s="30" t="s">
        <v>2</v>
      </c>
      <c r="AA167" s="30" t="s">
        <v>2</v>
      </c>
      <c r="AB167" s="30" t="s">
        <v>2</v>
      </c>
      <c r="AC167" s="30" t="s">
        <v>2</v>
      </c>
      <c r="AD167" s="28" t="s">
        <v>0</v>
      </c>
      <c r="AE167" s="28" t="s">
        <v>0</v>
      </c>
      <c r="AF167" s="30" t="s">
        <v>2</v>
      </c>
      <c r="AG167" s="86" t="s">
        <v>2</v>
      </c>
      <c r="AH167" s="112"/>
      <c r="AI167" s="10">
        <f t="shared" si="54"/>
        <v>0</v>
      </c>
      <c r="AJ167" s="60">
        <f t="shared" si="53"/>
        <v>26</v>
      </c>
    </row>
    <row r="168" spans="1:36" ht="15.75" thickBot="1" x14ac:dyDescent="0.3">
      <c r="A168" s="59" t="s">
        <v>17</v>
      </c>
      <c r="B168" s="58">
        <f t="shared" si="51"/>
        <v>12</v>
      </c>
      <c r="C168" s="273"/>
      <c r="D168" s="38" t="s">
        <v>0</v>
      </c>
      <c r="E168" s="36" t="s">
        <v>0</v>
      </c>
      <c r="F168" s="35" t="s">
        <v>2</v>
      </c>
      <c r="G168" s="35" t="s">
        <v>2</v>
      </c>
      <c r="H168" s="35" t="s">
        <v>2</v>
      </c>
      <c r="I168" s="35" t="s">
        <v>2</v>
      </c>
      <c r="J168" s="35" t="s">
        <v>2</v>
      </c>
      <c r="K168" s="36" t="s">
        <v>0</v>
      </c>
      <c r="L168" s="36" t="s">
        <v>0</v>
      </c>
      <c r="M168" s="35" t="s">
        <v>2</v>
      </c>
      <c r="N168" s="35" t="s">
        <v>2</v>
      </c>
      <c r="O168" s="35" t="s">
        <v>2</v>
      </c>
      <c r="P168" s="35" t="s">
        <v>2</v>
      </c>
      <c r="Q168" s="35" t="s">
        <v>2</v>
      </c>
      <c r="R168" s="36" t="s">
        <v>0</v>
      </c>
      <c r="S168" s="36" t="s">
        <v>0</v>
      </c>
      <c r="T168" s="35" t="s">
        <v>2</v>
      </c>
      <c r="U168" s="35" t="s">
        <v>2</v>
      </c>
      <c r="V168" s="35" t="s">
        <v>2</v>
      </c>
      <c r="W168" s="35" t="s">
        <v>2</v>
      </c>
      <c r="X168" s="35" t="s">
        <v>2</v>
      </c>
      <c r="Y168" s="36" t="s">
        <v>0</v>
      </c>
      <c r="Z168" s="36" t="s">
        <v>0</v>
      </c>
      <c r="AA168" s="35" t="s">
        <v>2</v>
      </c>
      <c r="AB168" s="35" t="s">
        <v>2</v>
      </c>
      <c r="AC168" s="35" t="s">
        <v>2</v>
      </c>
      <c r="AD168" s="35" t="s">
        <v>2</v>
      </c>
      <c r="AE168" s="35" t="s">
        <v>2</v>
      </c>
      <c r="AF168" s="36" t="s">
        <v>0</v>
      </c>
      <c r="AG168" s="82" t="s">
        <v>0</v>
      </c>
      <c r="AH168" s="112"/>
      <c r="AI168" s="10">
        <f t="shared" si="54"/>
        <v>0</v>
      </c>
      <c r="AJ168" s="60">
        <f t="shared" si="53"/>
        <v>12</v>
      </c>
    </row>
    <row r="169" spans="1:36" ht="15.75" thickBot="1" x14ac:dyDescent="0.3">
      <c r="A169" s="59" t="s">
        <v>18</v>
      </c>
      <c r="B169" s="58">
        <f t="shared" si="51"/>
        <v>13</v>
      </c>
      <c r="C169" s="273"/>
      <c r="D169" s="38" t="s">
        <v>0</v>
      </c>
      <c r="E169" s="36" t="s">
        <v>0</v>
      </c>
      <c r="F169" s="35" t="s">
        <v>2</v>
      </c>
      <c r="G169" s="35" t="s">
        <v>2</v>
      </c>
      <c r="H169" s="35" t="s">
        <v>2</v>
      </c>
      <c r="I169" s="35" t="s">
        <v>2</v>
      </c>
      <c r="J169" s="35" t="s">
        <v>2</v>
      </c>
      <c r="K169" s="36" t="s">
        <v>0</v>
      </c>
      <c r="L169" s="36" t="s">
        <v>0</v>
      </c>
      <c r="M169" s="35" t="s">
        <v>2</v>
      </c>
      <c r="N169" s="35" t="s">
        <v>31</v>
      </c>
      <c r="O169" s="35" t="s">
        <v>31</v>
      </c>
      <c r="P169" s="35" t="s">
        <v>31</v>
      </c>
      <c r="Q169" s="35" t="s">
        <v>2</v>
      </c>
      <c r="R169" s="36" t="s">
        <v>0</v>
      </c>
      <c r="S169" s="36" t="s">
        <v>0</v>
      </c>
      <c r="T169" s="35" t="s">
        <v>31</v>
      </c>
      <c r="U169" s="35" t="s">
        <v>31</v>
      </c>
      <c r="V169" s="35" t="s">
        <v>31</v>
      </c>
      <c r="W169" s="35" t="s">
        <v>31</v>
      </c>
      <c r="X169" s="35" t="s">
        <v>31</v>
      </c>
      <c r="Y169" s="36" t="s">
        <v>0</v>
      </c>
      <c r="Z169" s="36" t="s">
        <v>0</v>
      </c>
      <c r="AA169" s="35" t="s">
        <v>2</v>
      </c>
      <c r="AB169" s="35" t="s">
        <v>2</v>
      </c>
      <c r="AC169" s="35" t="s">
        <v>2</v>
      </c>
      <c r="AD169" s="35" t="s">
        <v>2</v>
      </c>
      <c r="AE169" s="35" t="s">
        <v>2</v>
      </c>
      <c r="AF169" s="36" t="s">
        <v>0</v>
      </c>
      <c r="AG169" s="82" t="s">
        <v>0</v>
      </c>
      <c r="AH169" s="112"/>
      <c r="AI169" s="10">
        <f t="shared" si="54"/>
        <v>8</v>
      </c>
      <c r="AJ169" s="60">
        <f t="shared" si="53"/>
        <v>5</v>
      </c>
    </row>
    <row r="170" spans="1:36" ht="15.75" thickBot="1" x14ac:dyDescent="0.3">
      <c r="A170" s="164" t="s">
        <v>37</v>
      </c>
      <c r="B170" s="165">
        <f t="shared" si="51"/>
        <v>13</v>
      </c>
      <c r="C170" s="273"/>
      <c r="D170" s="167" t="s">
        <v>0</v>
      </c>
      <c r="E170" s="118" t="s">
        <v>0</v>
      </c>
      <c r="F170" s="117" t="s">
        <v>31</v>
      </c>
      <c r="G170" s="117" t="s">
        <v>31</v>
      </c>
      <c r="H170" s="117" t="s">
        <v>31</v>
      </c>
      <c r="I170" s="117" t="s">
        <v>31</v>
      </c>
      <c r="J170" s="117" t="s">
        <v>2</v>
      </c>
      <c r="K170" s="118" t="s">
        <v>0</v>
      </c>
      <c r="L170" s="118" t="s">
        <v>0</v>
      </c>
      <c r="M170" s="117" t="s">
        <v>2</v>
      </c>
      <c r="N170" s="117" t="s">
        <v>2</v>
      </c>
      <c r="O170" s="117" t="s">
        <v>2</v>
      </c>
      <c r="P170" s="117" t="s">
        <v>2</v>
      </c>
      <c r="Q170" s="117" t="s">
        <v>2</v>
      </c>
      <c r="R170" s="118" t="s">
        <v>0</v>
      </c>
      <c r="S170" s="118" t="s">
        <v>0</v>
      </c>
      <c r="T170" s="117" t="s">
        <v>2</v>
      </c>
      <c r="U170" s="117" t="s">
        <v>2</v>
      </c>
      <c r="V170" s="117" t="s">
        <v>2</v>
      </c>
      <c r="W170" s="117" t="s">
        <v>2</v>
      </c>
      <c r="X170" s="117" t="s">
        <v>2</v>
      </c>
      <c r="Y170" s="118" t="s">
        <v>0</v>
      </c>
      <c r="Z170" s="118" t="s">
        <v>0</v>
      </c>
      <c r="AA170" s="117" t="s">
        <v>2</v>
      </c>
      <c r="AB170" s="117" t="s">
        <v>2</v>
      </c>
      <c r="AC170" s="117" t="s">
        <v>2</v>
      </c>
      <c r="AD170" s="117" t="s">
        <v>2</v>
      </c>
      <c r="AE170" s="117" t="s">
        <v>2</v>
      </c>
      <c r="AF170" s="118" t="s">
        <v>0</v>
      </c>
      <c r="AG170" s="118" t="s">
        <v>0</v>
      </c>
      <c r="AH170" s="112"/>
      <c r="AI170" s="10">
        <f t="shared" si="54"/>
        <v>4</v>
      </c>
      <c r="AJ170" s="60">
        <f t="shared" si="53"/>
        <v>9</v>
      </c>
    </row>
    <row r="171" spans="1:36" x14ac:dyDescent="0.25">
      <c r="A171" s="55" t="s">
        <v>15</v>
      </c>
      <c r="B171" s="54">
        <f t="shared" si="51"/>
        <v>13</v>
      </c>
      <c r="C171" s="274"/>
      <c r="D171" s="85" t="s">
        <v>0</v>
      </c>
      <c r="E171" s="42" t="s">
        <v>2</v>
      </c>
      <c r="F171" s="42" t="s">
        <v>2</v>
      </c>
      <c r="G171" s="42" t="s">
        <v>2</v>
      </c>
      <c r="H171" s="42" t="s">
        <v>2</v>
      </c>
      <c r="I171" s="42" t="s">
        <v>2</v>
      </c>
      <c r="J171" s="43" t="s">
        <v>0</v>
      </c>
      <c r="K171" s="43" t="s">
        <v>0</v>
      </c>
      <c r="L171" s="42" t="s">
        <v>2</v>
      </c>
      <c r="M171" s="42" t="s">
        <v>2</v>
      </c>
      <c r="N171" s="42" t="s">
        <v>2</v>
      </c>
      <c r="O171" s="42" t="s">
        <v>2</v>
      </c>
      <c r="P171" s="42" t="s">
        <v>2</v>
      </c>
      <c r="Q171" s="43" t="s">
        <v>0</v>
      </c>
      <c r="R171" s="43" t="s">
        <v>0</v>
      </c>
      <c r="S171" s="42" t="s">
        <v>2</v>
      </c>
      <c r="T171" s="42" t="s">
        <v>2</v>
      </c>
      <c r="U171" s="42" t="s">
        <v>2</v>
      </c>
      <c r="V171" s="42" t="s">
        <v>2</v>
      </c>
      <c r="W171" s="42" t="s">
        <v>2</v>
      </c>
      <c r="X171" s="43" t="s">
        <v>0</v>
      </c>
      <c r="Y171" s="43" t="s">
        <v>0</v>
      </c>
      <c r="Z171" s="42" t="s">
        <v>2</v>
      </c>
      <c r="AA171" s="42" t="s">
        <v>2</v>
      </c>
      <c r="AB171" s="42" t="s">
        <v>31</v>
      </c>
      <c r="AC171" s="42" t="s">
        <v>31</v>
      </c>
      <c r="AD171" s="42" t="s">
        <v>31</v>
      </c>
      <c r="AE171" s="43" t="s">
        <v>0</v>
      </c>
      <c r="AF171" s="43" t="s">
        <v>0</v>
      </c>
      <c r="AG171" s="84" t="s">
        <v>2</v>
      </c>
      <c r="AH171" s="97"/>
      <c r="AI171" s="10">
        <f t="shared" si="52"/>
        <v>3</v>
      </c>
      <c r="AJ171" s="9">
        <f t="shared" si="53"/>
        <v>10</v>
      </c>
    </row>
    <row r="172" spans="1:36" ht="14.25" customHeight="1" x14ac:dyDescent="0.25">
      <c r="A172" s="52" t="s">
        <v>14</v>
      </c>
      <c r="B172" s="51">
        <f t="shared" si="51"/>
        <v>19</v>
      </c>
      <c r="C172" s="274"/>
      <c r="D172" s="38" t="s">
        <v>0</v>
      </c>
      <c r="E172" s="35" t="s">
        <v>2</v>
      </c>
      <c r="F172" s="35" t="s">
        <v>2</v>
      </c>
      <c r="G172" s="35" t="s">
        <v>2</v>
      </c>
      <c r="H172" s="35" t="s">
        <v>2</v>
      </c>
      <c r="I172" s="35" t="s">
        <v>2</v>
      </c>
      <c r="J172" s="36" t="s">
        <v>0</v>
      </c>
      <c r="K172" s="36" t="s">
        <v>0</v>
      </c>
      <c r="L172" s="35" t="s">
        <v>2</v>
      </c>
      <c r="M172" s="35" t="s">
        <v>2</v>
      </c>
      <c r="N172" s="35" t="s">
        <v>2</v>
      </c>
      <c r="O172" s="35" t="s">
        <v>2</v>
      </c>
      <c r="P172" s="35" t="s">
        <v>2</v>
      </c>
      <c r="Q172" s="36" t="s">
        <v>0</v>
      </c>
      <c r="R172" s="36" t="s">
        <v>0</v>
      </c>
      <c r="S172" s="35" t="s">
        <v>2</v>
      </c>
      <c r="T172" s="35" t="s">
        <v>2</v>
      </c>
      <c r="U172" s="35" t="s">
        <v>2</v>
      </c>
      <c r="V172" s="35" t="s">
        <v>2</v>
      </c>
      <c r="W172" s="35" t="s">
        <v>2</v>
      </c>
      <c r="X172" s="36" t="s">
        <v>0</v>
      </c>
      <c r="Y172" s="36" t="s">
        <v>0</v>
      </c>
      <c r="Z172" s="35" t="s">
        <v>2</v>
      </c>
      <c r="AA172" s="35" t="s">
        <v>2</v>
      </c>
      <c r="AB172" s="35" t="s">
        <v>2</v>
      </c>
      <c r="AC172" s="35" t="s">
        <v>2</v>
      </c>
      <c r="AD172" s="35" t="s">
        <v>2</v>
      </c>
      <c r="AE172" s="36" t="s">
        <v>0</v>
      </c>
      <c r="AF172" s="36" t="s">
        <v>0</v>
      </c>
      <c r="AG172" s="87" t="s">
        <v>2</v>
      </c>
      <c r="AH172" s="97"/>
      <c r="AI172" s="10">
        <f t="shared" si="52"/>
        <v>0</v>
      </c>
      <c r="AJ172" s="9">
        <f t="shared" si="53"/>
        <v>19</v>
      </c>
    </row>
    <row r="173" spans="1:36" x14ac:dyDescent="0.25">
      <c r="A173" s="52" t="s">
        <v>13</v>
      </c>
      <c r="B173" s="51">
        <f t="shared" si="51"/>
        <v>8</v>
      </c>
      <c r="C173" s="274"/>
      <c r="D173" s="38" t="s">
        <v>0</v>
      </c>
      <c r="E173" s="35" t="s">
        <v>2</v>
      </c>
      <c r="F173" s="35" t="s">
        <v>2</v>
      </c>
      <c r="G173" s="35" t="s">
        <v>2</v>
      </c>
      <c r="H173" s="35" t="s">
        <v>2</v>
      </c>
      <c r="I173" s="35" t="s">
        <v>2</v>
      </c>
      <c r="J173" s="36" t="s">
        <v>0</v>
      </c>
      <c r="K173" s="36" t="s">
        <v>0</v>
      </c>
      <c r="L173" s="35" t="s">
        <v>2</v>
      </c>
      <c r="M173" s="35" t="s">
        <v>2</v>
      </c>
      <c r="N173" s="35" t="s">
        <v>2</v>
      </c>
      <c r="O173" s="35" t="s">
        <v>2</v>
      </c>
      <c r="P173" s="35" t="s">
        <v>2</v>
      </c>
      <c r="Q173" s="36" t="s">
        <v>0</v>
      </c>
      <c r="R173" s="36" t="s">
        <v>0</v>
      </c>
      <c r="S173" s="35" t="s">
        <v>2</v>
      </c>
      <c r="T173" s="35" t="s">
        <v>2</v>
      </c>
      <c r="U173" s="35" t="s">
        <v>2</v>
      </c>
      <c r="V173" s="35" t="s">
        <v>2</v>
      </c>
      <c r="W173" s="35" t="s">
        <v>2</v>
      </c>
      <c r="X173" s="36" t="s">
        <v>0</v>
      </c>
      <c r="Y173" s="36" t="s">
        <v>0</v>
      </c>
      <c r="Z173" s="35" t="s">
        <v>2</v>
      </c>
      <c r="AA173" s="35" t="s">
        <v>2</v>
      </c>
      <c r="AB173" s="35" t="s">
        <v>2</v>
      </c>
      <c r="AC173" s="35" t="s">
        <v>2</v>
      </c>
      <c r="AD173" s="35" t="s">
        <v>2</v>
      </c>
      <c r="AE173" s="36" t="s">
        <v>0</v>
      </c>
      <c r="AF173" s="36" t="s">
        <v>0</v>
      </c>
      <c r="AG173" s="87" t="s">
        <v>2</v>
      </c>
      <c r="AH173" s="97"/>
      <c r="AI173" s="10">
        <f t="shared" si="52"/>
        <v>0</v>
      </c>
      <c r="AJ173" s="9">
        <f t="shared" si="53"/>
        <v>8</v>
      </c>
    </row>
    <row r="174" spans="1:36" ht="15.75" thickBot="1" x14ac:dyDescent="0.3">
      <c r="A174" s="8" t="s">
        <v>6</v>
      </c>
      <c r="B174" s="7">
        <f>AJ157</f>
        <v>33</v>
      </c>
      <c r="C174" s="274"/>
      <c r="D174" s="6" t="s">
        <v>2</v>
      </c>
      <c r="E174" s="5" t="s">
        <v>2</v>
      </c>
      <c r="F174" s="5" t="s">
        <v>2</v>
      </c>
      <c r="G174" s="5" t="s">
        <v>0</v>
      </c>
      <c r="H174" s="5" t="s">
        <v>2</v>
      </c>
      <c r="I174" s="5" t="s">
        <v>2</v>
      </c>
      <c r="J174" s="5" t="s">
        <v>2</v>
      </c>
      <c r="K174" s="5" t="s">
        <v>2</v>
      </c>
      <c r="L174" s="5" t="s">
        <v>0</v>
      </c>
      <c r="M174" s="5" t="s">
        <v>0</v>
      </c>
      <c r="N174" s="5" t="s">
        <v>1</v>
      </c>
      <c r="O174" s="5" t="s">
        <v>1</v>
      </c>
      <c r="P174" s="5" t="s">
        <v>1</v>
      </c>
      <c r="Q174" s="5" t="s">
        <v>31</v>
      </c>
      <c r="R174" s="5" t="s">
        <v>1</v>
      </c>
      <c r="S174" s="5" t="s">
        <v>1</v>
      </c>
      <c r="T174" s="5" t="s">
        <v>0</v>
      </c>
      <c r="U174" s="201" t="s">
        <v>0</v>
      </c>
      <c r="V174" s="201" t="s">
        <v>0</v>
      </c>
      <c r="W174" s="201" t="s">
        <v>2</v>
      </c>
      <c r="X174" s="201" t="s">
        <v>2</v>
      </c>
      <c r="Y174" s="201" t="s">
        <v>2</v>
      </c>
      <c r="Z174" s="201" t="s">
        <v>2</v>
      </c>
      <c r="AA174" s="201" t="s">
        <v>2</v>
      </c>
      <c r="AB174" s="201" t="s">
        <v>2</v>
      </c>
      <c r="AC174" s="5" t="s">
        <v>0</v>
      </c>
      <c r="AD174" s="5" t="s">
        <v>0</v>
      </c>
      <c r="AE174" s="5" t="s">
        <v>0</v>
      </c>
      <c r="AF174" s="5" t="s">
        <v>2</v>
      </c>
      <c r="AG174" s="96" t="s">
        <v>2</v>
      </c>
      <c r="AH174" s="97"/>
      <c r="AI174" s="10">
        <f t="shared" ref="AI174" si="55">COUNTIF(D174:AG174,"V")</f>
        <v>1</v>
      </c>
      <c r="AJ174" s="9">
        <f t="shared" ref="AJ174" si="56">B174-AI174</f>
        <v>32</v>
      </c>
    </row>
    <row r="175" spans="1:36" x14ac:dyDescent="0.25">
      <c r="A175" s="187" t="s">
        <v>12</v>
      </c>
      <c r="B175" s="188">
        <f t="shared" ref="B175:B182" si="57">AJ148</f>
        <v>15</v>
      </c>
      <c r="C175" s="273"/>
      <c r="D175" s="198" t="s">
        <v>1</v>
      </c>
      <c r="E175" s="199" t="s">
        <v>1</v>
      </c>
      <c r="F175" s="122" t="s">
        <v>0</v>
      </c>
      <c r="G175" s="122" t="s">
        <v>0</v>
      </c>
      <c r="H175" s="122" t="s">
        <v>0</v>
      </c>
      <c r="I175" s="121" t="s">
        <v>2</v>
      </c>
      <c r="J175" s="121" t="s">
        <v>2</v>
      </c>
      <c r="K175" s="121" t="s">
        <v>2</v>
      </c>
      <c r="L175" s="204" t="s">
        <v>31</v>
      </c>
      <c r="M175" s="204" t="s">
        <v>31</v>
      </c>
      <c r="N175" s="204" t="s">
        <v>31</v>
      </c>
      <c r="O175" s="122" t="s">
        <v>0</v>
      </c>
      <c r="P175" s="122" t="s">
        <v>0</v>
      </c>
      <c r="Q175" s="122" t="s">
        <v>0</v>
      </c>
      <c r="R175" s="121" t="s">
        <v>2</v>
      </c>
      <c r="S175" s="121" t="s">
        <v>2</v>
      </c>
      <c r="T175" s="121" t="s">
        <v>2</v>
      </c>
      <c r="U175" s="199" t="s">
        <v>1</v>
      </c>
      <c r="V175" s="199" t="s">
        <v>1</v>
      </c>
      <c r="W175" s="199" t="s">
        <v>1</v>
      </c>
      <c r="X175" s="122" t="s">
        <v>0</v>
      </c>
      <c r="Y175" s="122" t="s">
        <v>0</v>
      </c>
      <c r="Z175" s="122" t="s">
        <v>0</v>
      </c>
      <c r="AA175" s="121" t="s">
        <v>2</v>
      </c>
      <c r="AB175" s="121" t="s">
        <v>2</v>
      </c>
      <c r="AC175" s="121" t="s">
        <v>2</v>
      </c>
      <c r="AD175" s="199" t="s">
        <v>1</v>
      </c>
      <c r="AE175" s="199" t="s">
        <v>1</v>
      </c>
      <c r="AF175" s="199" t="s">
        <v>1</v>
      </c>
      <c r="AG175" s="171" t="s">
        <v>0</v>
      </c>
      <c r="AH175" s="112"/>
      <c r="AI175" s="10">
        <f t="shared" si="52"/>
        <v>3</v>
      </c>
      <c r="AJ175" s="9">
        <f t="shared" si="53"/>
        <v>12</v>
      </c>
    </row>
    <row r="176" spans="1:36" x14ac:dyDescent="0.25">
      <c r="A176" s="40" t="s">
        <v>11</v>
      </c>
      <c r="B176" s="39">
        <f t="shared" si="57"/>
        <v>22</v>
      </c>
      <c r="C176" s="273"/>
      <c r="D176" s="50" t="s">
        <v>2</v>
      </c>
      <c r="E176" s="35" t="s">
        <v>2</v>
      </c>
      <c r="F176" s="37" t="s">
        <v>1</v>
      </c>
      <c r="G176" s="37" t="s">
        <v>31</v>
      </c>
      <c r="H176" s="37" t="s">
        <v>1</v>
      </c>
      <c r="I176" s="36" t="s">
        <v>0</v>
      </c>
      <c r="J176" s="36" t="s">
        <v>0</v>
      </c>
      <c r="K176" s="36" t="s">
        <v>0</v>
      </c>
      <c r="L176" s="35" t="s">
        <v>2</v>
      </c>
      <c r="M176" s="35" t="s">
        <v>2</v>
      </c>
      <c r="N176" s="35" t="s">
        <v>2</v>
      </c>
      <c r="O176" s="37" t="s">
        <v>1</v>
      </c>
      <c r="P176" s="37" t="s">
        <v>1</v>
      </c>
      <c r="Q176" s="37" t="s">
        <v>1</v>
      </c>
      <c r="R176" s="36" t="s">
        <v>0</v>
      </c>
      <c r="S176" s="36" t="s">
        <v>0</v>
      </c>
      <c r="T176" s="36" t="s">
        <v>0</v>
      </c>
      <c r="U176" s="35" t="s">
        <v>2</v>
      </c>
      <c r="V176" s="35" t="s">
        <v>2</v>
      </c>
      <c r="W176" s="35" t="s">
        <v>2</v>
      </c>
      <c r="X176" s="37" t="s">
        <v>1</v>
      </c>
      <c r="Y176" s="37" t="s">
        <v>1</v>
      </c>
      <c r="Z176" s="37" t="s">
        <v>1</v>
      </c>
      <c r="AA176" s="36" t="s">
        <v>0</v>
      </c>
      <c r="AB176" s="36" t="s">
        <v>0</v>
      </c>
      <c r="AC176" s="36" t="s">
        <v>0</v>
      </c>
      <c r="AD176" s="35" t="s">
        <v>2</v>
      </c>
      <c r="AE176" s="35" t="s">
        <v>2</v>
      </c>
      <c r="AF176" s="35" t="s">
        <v>2</v>
      </c>
      <c r="AG176" s="13" t="s">
        <v>31</v>
      </c>
      <c r="AH176" s="112"/>
      <c r="AI176" s="10">
        <f t="shared" si="52"/>
        <v>2</v>
      </c>
      <c r="AJ176" s="9">
        <f t="shared" si="53"/>
        <v>20</v>
      </c>
    </row>
    <row r="177" spans="1:36" ht="15.75" thickBot="1" x14ac:dyDescent="0.3">
      <c r="A177" s="33" t="s">
        <v>10</v>
      </c>
      <c r="B177" s="32">
        <f t="shared" si="57"/>
        <v>18</v>
      </c>
      <c r="C177" s="273"/>
      <c r="D177" s="110" t="s">
        <v>0</v>
      </c>
      <c r="E177" s="28" t="s">
        <v>0</v>
      </c>
      <c r="F177" s="30" t="s">
        <v>2</v>
      </c>
      <c r="G177" s="30" t="s">
        <v>2</v>
      </c>
      <c r="H177" s="30" t="s">
        <v>2</v>
      </c>
      <c r="I177" s="29" t="s">
        <v>1</v>
      </c>
      <c r="J177" s="29" t="s">
        <v>1</v>
      </c>
      <c r="K177" s="29" t="s">
        <v>1</v>
      </c>
      <c r="L177" s="28" t="s">
        <v>0</v>
      </c>
      <c r="M177" s="28" t="s">
        <v>0</v>
      </c>
      <c r="N177" s="28" t="s">
        <v>0</v>
      </c>
      <c r="O177" s="30" t="s">
        <v>2</v>
      </c>
      <c r="P177" s="30" t="s">
        <v>2</v>
      </c>
      <c r="Q177" s="30" t="s">
        <v>2</v>
      </c>
      <c r="R177" s="29" t="s">
        <v>1</v>
      </c>
      <c r="S177" s="29" t="s">
        <v>1</v>
      </c>
      <c r="T177" s="29" t="s">
        <v>1</v>
      </c>
      <c r="U177" s="28" t="s">
        <v>0</v>
      </c>
      <c r="V177" s="28" t="s">
        <v>0</v>
      </c>
      <c r="W177" s="28" t="s">
        <v>0</v>
      </c>
      <c r="X177" s="30" t="s">
        <v>2</v>
      </c>
      <c r="Y177" s="30" t="s">
        <v>2</v>
      </c>
      <c r="Z177" s="30" t="s">
        <v>2</v>
      </c>
      <c r="AA177" s="29" t="s">
        <v>1</v>
      </c>
      <c r="AB177" s="29" t="s">
        <v>1</v>
      </c>
      <c r="AC177" s="29" t="s">
        <v>1</v>
      </c>
      <c r="AD177" s="28" t="s">
        <v>0</v>
      </c>
      <c r="AE177" s="28" t="s">
        <v>0</v>
      </c>
      <c r="AF177" s="28" t="s">
        <v>0</v>
      </c>
      <c r="AG177" s="86" t="s">
        <v>2</v>
      </c>
      <c r="AH177" s="112"/>
      <c r="AI177" s="10">
        <f t="shared" si="52"/>
        <v>0</v>
      </c>
      <c r="AJ177" s="9">
        <f t="shared" si="53"/>
        <v>18</v>
      </c>
    </row>
    <row r="178" spans="1:36" ht="15.75" thickBot="1" x14ac:dyDescent="0.3">
      <c r="A178" s="16" t="s">
        <v>7</v>
      </c>
      <c r="B178" s="15">
        <f t="shared" si="57"/>
        <v>31</v>
      </c>
      <c r="C178" s="273"/>
      <c r="D178" s="14" t="s">
        <v>2</v>
      </c>
      <c r="E178" s="13" t="s">
        <v>2</v>
      </c>
      <c r="F178" s="13" t="s">
        <v>2</v>
      </c>
      <c r="G178" s="13" t="s">
        <v>2</v>
      </c>
      <c r="H178" s="13" t="s">
        <v>2</v>
      </c>
      <c r="I178" s="13" t="s">
        <v>0</v>
      </c>
      <c r="J178" s="13" t="s">
        <v>0</v>
      </c>
      <c r="K178" s="13" t="s">
        <v>2</v>
      </c>
      <c r="L178" s="13" t="s">
        <v>2</v>
      </c>
      <c r="M178" s="13" t="s">
        <v>2</v>
      </c>
      <c r="N178" s="13" t="s">
        <v>2</v>
      </c>
      <c r="O178" s="13" t="s">
        <v>2</v>
      </c>
      <c r="P178" s="13" t="s">
        <v>0</v>
      </c>
      <c r="Q178" s="13" t="s">
        <v>0</v>
      </c>
      <c r="R178" s="13" t="s">
        <v>2</v>
      </c>
      <c r="S178" s="13" t="s">
        <v>2</v>
      </c>
      <c r="T178" s="13" t="s">
        <v>2</v>
      </c>
      <c r="U178" s="13" t="s">
        <v>2</v>
      </c>
      <c r="V178" s="13" t="s">
        <v>2</v>
      </c>
      <c r="W178" s="13" t="s">
        <v>0</v>
      </c>
      <c r="X178" s="13" t="s">
        <v>0</v>
      </c>
      <c r="Y178" s="13" t="s">
        <v>2</v>
      </c>
      <c r="Z178" s="13" t="s">
        <v>2</v>
      </c>
      <c r="AA178" s="13" t="s">
        <v>2</v>
      </c>
      <c r="AB178" s="13" t="s">
        <v>2</v>
      </c>
      <c r="AC178" s="13" t="s">
        <v>2</v>
      </c>
      <c r="AD178" s="13" t="s">
        <v>0</v>
      </c>
      <c r="AE178" s="13" t="s">
        <v>0</v>
      </c>
      <c r="AF178" s="13" t="s">
        <v>2</v>
      </c>
      <c r="AG178" s="78" t="s">
        <v>2</v>
      </c>
      <c r="AH178" s="112"/>
      <c r="AI178" s="10">
        <f t="shared" ref="AI178" si="58">COUNTIF(D178:AG178,"V")</f>
        <v>0</v>
      </c>
      <c r="AJ178" s="9">
        <f t="shared" ref="AJ178" si="59">B178-AI178</f>
        <v>31</v>
      </c>
    </row>
    <row r="179" spans="1:36" x14ac:dyDescent="0.25">
      <c r="A179" s="26" t="s">
        <v>9</v>
      </c>
      <c r="B179" s="25">
        <f t="shared" si="57"/>
        <v>32</v>
      </c>
      <c r="C179" s="273"/>
      <c r="D179" s="24" t="s">
        <v>2</v>
      </c>
      <c r="E179" s="23" t="s">
        <v>2</v>
      </c>
      <c r="F179" s="23" t="s">
        <v>2</v>
      </c>
      <c r="G179" s="23" t="s">
        <v>2</v>
      </c>
      <c r="H179" s="23" t="s">
        <v>0</v>
      </c>
      <c r="I179" s="23" t="s">
        <v>0</v>
      </c>
      <c r="J179" s="22" t="s">
        <v>0</v>
      </c>
      <c r="K179" s="23" t="s">
        <v>2</v>
      </c>
      <c r="L179" s="23" t="s">
        <v>2</v>
      </c>
      <c r="M179" s="23" t="s">
        <v>2</v>
      </c>
      <c r="N179" s="23" t="s">
        <v>2</v>
      </c>
      <c r="O179" s="23" t="s">
        <v>2</v>
      </c>
      <c r="P179" s="23" t="s">
        <v>2</v>
      </c>
      <c r="Q179" s="23" t="s">
        <v>0</v>
      </c>
      <c r="R179" s="23" t="s">
        <v>0</v>
      </c>
      <c r="S179" s="22" t="s">
        <v>0</v>
      </c>
      <c r="T179" s="23" t="s">
        <v>2</v>
      </c>
      <c r="U179" s="23" t="s">
        <v>2</v>
      </c>
      <c r="V179" s="23" t="s">
        <v>2</v>
      </c>
      <c r="W179" s="23" t="s">
        <v>2</v>
      </c>
      <c r="X179" s="23" t="s">
        <v>31</v>
      </c>
      <c r="Y179" s="23" t="s">
        <v>2</v>
      </c>
      <c r="Z179" s="23" t="s">
        <v>0</v>
      </c>
      <c r="AA179" s="23" t="s">
        <v>0</v>
      </c>
      <c r="AB179" s="22" t="s">
        <v>0</v>
      </c>
      <c r="AC179" s="23" t="s">
        <v>2</v>
      </c>
      <c r="AD179" s="23" t="s">
        <v>2</v>
      </c>
      <c r="AE179" s="23" t="s">
        <v>2</v>
      </c>
      <c r="AF179" s="23" t="s">
        <v>2</v>
      </c>
      <c r="AG179" s="101" t="s">
        <v>2</v>
      </c>
      <c r="AH179" s="112"/>
      <c r="AI179" s="10">
        <f t="shared" si="52"/>
        <v>1</v>
      </c>
      <c r="AJ179" s="9">
        <f t="shared" si="53"/>
        <v>31</v>
      </c>
    </row>
    <row r="180" spans="1:36" ht="15.75" thickBot="1" x14ac:dyDescent="0.3">
      <c r="A180" s="8" t="s">
        <v>4</v>
      </c>
      <c r="B180" s="7">
        <f t="shared" si="57"/>
        <v>23</v>
      </c>
      <c r="C180" s="273"/>
      <c r="D180" s="14" t="s">
        <v>2</v>
      </c>
      <c r="E180" s="13" t="s">
        <v>0</v>
      </c>
      <c r="F180" s="13" t="s">
        <v>0</v>
      </c>
      <c r="G180" s="13" t="s">
        <v>0</v>
      </c>
      <c r="H180" s="13" t="s">
        <v>31</v>
      </c>
      <c r="I180" s="13" t="s">
        <v>31</v>
      </c>
      <c r="J180" s="13" t="s">
        <v>31</v>
      </c>
      <c r="K180" s="13" t="s">
        <v>31</v>
      </c>
      <c r="L180" s="13" t="s">
        <v>2</v>
      </c>
      <c r="M180" s="13" t="s">
        <v>2</v>
      </c>
      <c r="N180" s="13" t="s">
        <v>0</v>
      </c>
      <c r="O180" s="13" t="s">
        <v>0</v>
      </c>
      <c r="P180" s="13" t="s">
        <v>0</v>
      </c>
      <c r="Q180" s="13" t="s">
        <v>2</v>
      </c>
      <c r="R180" s="13" t="s">
        <v>2</v>
      </c>
      <c r="S180" s="13" t="s">
        <v>2</v>
      </c>
      <c r="T180" s="13" t="s">
        <v>2</v>
      </c>
      <c r="U180" s="13" t="s">
        <v>2</v>
      </c>
      <c r="V180" s="13" t="s">
        <v>2</v>
      </c>
      <c r="W180" s="13" t="s">
        <v>0</v>
      </c>
      <c r="X180" s="13" t="s">
        <v>0</v>
      </c>
      <c r="Y180" s="13" t="s">
        <v>0</v>
      </c>
      <c r="Z180" s="13" t="s">
        <v>2</v>
      </c>
      <c r="AA180" s="13" t="s">
        <v>2</v>
      </c>
      <c r="AB180" s="13" t="s">
        <v>2</v>
      </c>
      <c r="AC180" s="13" t="s">
        <v>2</v>
      </c>
      <c r="AD180" s="13" t="s">
        <v>2</v>
      </c>
      <c r="AE180" s="13" t="s">
        <v>2</v>
      </c>
      <c r="AF180" s="13" t="s">
        <v>0</v>
      </c>
      <c r="AG180" s="77" t="s">
        <v>0</v>
      </c>
      <c r="AH180" s="112"/>
      <c r="AI180" s="10">
        <f t="shared" ref="AI180" si="60">COUNTIF(D180:AG180,"V")</f>
        <v>4</v>
      </c>
      <c r="AJ180" s="9">
        <f t="shared" ref="AJ180" si="61">B180-AI180</f>
        <v>19</v>
      </c>
    </row>
    <row r="181" spans="1:36" x14ac:dyDescent="0.25">
      <c r="A181" s="26" t="s">
        <v>8</v>
      </c>
      <c r="B181" s="25">
        <f t="shared" si="57"/>
        <v>23</v>
      </c>
      <c r="C181" s="273"/>
      <c r="D181" s="108" t="s">
        <v>31</v>
      </c>
      <c r="E181" s="13" t="s">
        <v>31</v>
      </c>
      <c r="F181" s="13" t="s">
        <v>0</v>
      </c>
      <c r="G181" s="13" t="s">
        <v>0</v>
      </c>
      <c r="H181" s="13" t="s">
        <v>0</v>
      </c>
      <c r="I181" s="13" t="s">
        <v>1</v>
      </c>
      <c r="J181" s="13" t="s">
        <v>1</v>
      </c>
      <c r="K181" s="13" t="s">
        <v>1</v>
      </c>
      <c r="L181" s="13" t="s">
        <v>1</v>
      </c>
      <c r="M181" s="13" t="s">
        <v>1</v>
      </c>
      <c r="N181" s="13" t="s">
        <v>1</v>
      </c>
      <c r="O181" s="17" t="s">
        <v>0</v>
      </c>
      <c r="P181" s="17" t="s">
        <v>0</v>
      </c>
      <c r="Q181" s="17" t="s">
        <v>0</v>
      </c>
      <c r="R181" s="12" t="s">
        <v>2</v>
      </c>
      <c r="S181" s="12" t="s">
        <v>2</v>
      </c>
      <c r="T181" s="12" t="s">
        <v>2</v>
      </c>
      <c r="U181" s="12" t="s">
        <v>2</v>
      </c>
      <c r="V181" s="12" t="s">
        <v>2</v>
      </c>
      <c r="W181" s="12" t="s">
        <v>2</v>
      </c>
      <c r="X181" s="13" t="s">
        <v>0</v>
      </c>
      <c r="Y181" s="13" t="s">
        <v>0</v>
      </c>
      <c r="Z181" s="13" t="s">
        <v>0</v>
      </c>
      <c r="AA181" s="13" t="s">
        <v>1</v>
      </c>
      <c r="AB181" s="13" t="s">
        <v>1</v>
      </c>
      <c r="AC181" s="13" t="s">
        <v>1</v>
      </c>
      <c r="AD181" s="13" t="s">
        <v>1</v>
      </c>
      <c r="AE181" s="13" t="s">
        <v>1</v>
      </c>
      <c r="AF181" s="13" t="s">
        <v>1</v>
      </c>
      <c r="AG181" s="78" t="s">
        <v>0</v>
      </c>
      <c r="AH181" s="112"/>
      <c r="AI181" s="10">
        <f t="shared" si="52"/>
        <v>2</v>
      </c>
      <c r="AJ181" s="9">
        <f t="shared" si="53"/>
        <v>21</v>
      </c>
    </row>
    <row r="182" spans="1:36" x14ac:dyDescent="0.25">
      <c r="A182" s="16" t="s">
        <v>33</v>
      </c>
      <c r="B182" s="15">
        <f t="shared" si="57"/>
        <v>39</v>
      </c>
      <c r="C182" s="273"/>
      <c r="D182" s="14" t="s">
        <v>1</v>
      </c>
      <c r="E182" s="13" t="s">
        <v>1</v>
      </c>
      <c r="F182" s="13" t="s">
        <v>0</v>
      </c>
      <c r="G182" s="13" t="s">
        <v>0</v>
      </c>
      <c r="H182" s="13" t="s">
        <v>0</v>
      </c>
      <c r="I182" s="13" t="s">
        <v>2</v>
      </c>
      <c r="J182" s="13" t="s">
        <v>2</v>
      </c>
      <c r="K182" s="13" t="s">
        <v>2</v>
      </c>
      <c r="L182" s="13" t="s">
        <v>31</v>
      </c>
      <c r="M182" s="13" t="s">
        <v>31</v>
      </c>
      <c r="N182" s="13" t="s">
        <v>31</v>
      </c>
      <c r="O182" s="17" t="s">
        <v>0</v>
      </c>
      <c r="P182" s="17" t="s">
        <v>0</v>
      </c>
      <c r="Q182" s="17" t="s">
        <v>0</v>
      </c>
      <c r="R182" s="13" t="s">
        <v>1</v>
      </c>
      <c r="S182" s="13" t="s">
        <v>1</v>
      </c>
      <c r="T182" s="13" t="s">
        <v>1</v>
      </c>
      <c r="U182" s="13" t="s">
        <v>1</v>
      </c>
      <c r="V182" s="13" t="s">
        <v>1</v>
      </c>
      <c r="W182" s="13" t="s">
        <v>1</v>
      </c>
      <c r="X182" s="13" t="s">
        <v>0</v>
      </c>
      <c r="Y182" s="13" t="s">
        <v>0</v>
      </c>
      <c r="Z182" s="13" t="s">
        <v>0</v>
      </c>
      <c r="AA182" s="13" t="s">
        <v>2</v>
      </c>
      <c r="AB182" s="13" t="s">
        <v>2</v>
      </c>
      <c r="AC182" s="13" t="s">
        <v>2</v>
      </c>
      <c r="AD182" s="13" t="s">
        <v>2</v>
      </c>
      <c r="AE182" s="13" t="s">
        <v>2</v>
      </c>
      <c r="AF182" s="13" t="s">
        <v>2</v>
      </c>
      <c r="AG182" s="78" t="s">
        <v>0</v>
      </c>
      <c r="AH182" s="112"/>
      <c r="AI182" s="10">
        <f t="shared" si="52"/>
        <v>3</v>
      </c>
      <c r="AJ182" s="9">
        <f t="shared" si="53"/>
        <v>36</v>
      </c>
    </row>
    <row r="183" spans="1:36" ht="15.75" thickBot="1" x14ac:dyDescent="0.3">
      <c r="A183" s="8" t="s">
        <v>40</v>
      </c>
      <c r="B183" s="7">
        <f>AJ156</f>
        <v>10</v>
      </c>
      <c r="C183" s="273"/>
      <c r="D183" s="14" t="s">
        <v>0</v>
      </c>
      <c r="E183" s="13" t="s">
        <v>2</v>
      </c>
      <c r="F183" s="13" t="s">
        <v>2</v>
      </c>
      <c r="G183" s="13" t="s">
        <v>2</v>
      </c>
      <c r="H183" s="13" t="s">
        <v>2</v>
      </c>
      <c r="I183" s="13" t="s">
        <v>2</v>
      </c>
      <c r="J183" s="12" t="s">
        <v>0</v>
      </c>
      <c r="K183" s="12" t="s">
        <v>0</v>
      </c>
      <c r="L183" s="13" t="s">
        <v>2</v>
      </c>
      <c r="M183" s="13" t="s">
        <v>2</v>
      </c>
      <c r="N183" s="13" t="s">
        <v>2</v>
      </c>
      <c r="O183" s="13" t="s">
        <v>2</v>
      </c>
      <c r="P183" s="13" t="s">
        <v>2</v>
      </c>
      <c r="Q183" s="12" t="s">
        <v>0</v>
      </c>
      <c r="R183" s="12" t="s">
        <v>0</v>
      </c>
      <c r="S183" s="13" t="s">
        <v>2</v>
      </c>
      <c r="T183" s="13" t="s">
        <v>2</v>
      </c>
      <c r="U183" s="13" t="s">
        <v>2</v>
      </c>
      <c r="V183" s="13" t="s">
        <v>2</v>
      </c>
      <c r="W183" s="13" t="s">
        <v>2</v>
      </c>
      <c r="X183" s="12" t="s">
        <v>0</v>
      </c>
      <c r="Y183" s="12" t="s">
        <v>0</v>
      </c>
      <c r="Z183" s="13" t="s">
        <v>2</v>
      </c>
      <c r="AA183" s="13" t="s">
        <v>2</v>
      </c>
      <c r="AB183" s="13" t="s">
        <v>2</v>
      </c>
      <c r="AC183" s="13" t="s">
        <v>2</v>
      </c>
      <c r="AD183" s="12" t="s">
        <v>0</v>
      </c>
      <c r="AE183" s="12" t="s">
        <v>0</v>
      </c>
      <c r="AF183" s="12" t="s">
        <v>31</v>
      </c>
      <c r="AG183" s="13" t="s">
        <v>2</v>
      </c>
      <c r="AH183" s="112"/>
      <c r="AI183" s="10">
        <f t="shared" ref="AI183:AI188" si="62">COUNTIF(D183:AG183,"V")</f>
        <v>1</v>
      </c>
      <c r="AJ183" s="9">
        <f t="shared" ref="AJ183:AJ188" si="63">B183-AI183</f>
        <v>9</v>
      </c>
    </row>
    <row r="184" spans="1:36" x14ac:dyDescent="0.25">
      <c r="A184" s="134" t="s">
        <v>43</v>
      </c>
      <c r="B184" s="133"/>
      <c r="C184" s="273"/>
      <c r="D184" s="14" t="s">
        <v>0</v>
      </c>
      <c r="E184" s="13" t="s">
        <v>2</v>
      </c>
      <c r="F184" s="13" t="s">
        <v>2</v>
      </c>
      <c r="G184" s="13" t="s">
        <v>2</v>
      </c>
      <c r="H184" s="13" t="s">
        <v>2</v>
      </c>
      <c r="I184" s="13" t="s">
        <v>2</v>
      </c>
      <c r="J184" s="13" t="s">
        <v>0</v>
      </c>
      <c r="K184" s="13" t="s">
        <v>0</v>
      </c>
      <c r="L184" s="13" t="s">
        <v>1</v>
      </c>
      <c r="M184" s="13" t="s">
        <v>1</v>
      </c>
      <c r="N184" s="13" t="s">
        <v>1</v>
      </c>
      <c r="O184" s="13" t="s">
        <v>1</v>
      </c>
      <c r="P184" s="13" t="s">
        <v>1</v>
      </c>
      <c r="Q184" s="13" t="s">
        <v>1</v>
      </c>
      <c r="R184" s="13" t="s">
        <v>0</v>
      </c>
      <c r="S184" s="13" t="s">
        <v>0</v>
      </c>
      <c r="T184" s="13" t="s">
        <v>0</v>
      </c>
      <c r="U184" s="17" t="s">
        <v>2</v>
      </c>
      <c r="V184" s="17" t="s">
        <v>2</v>
      </c>
      <c r="W184" s="17" t="s">
        <v>2</v>
      </c>
      <c r="X184" s="17" t="s">
        <v>2</v>
      </c>
      <c r="Y184" s="17" t="s">
        <v>2</v>
      </c>
      <c r="Z184" s="17" t="s">
        <v>2</v>
      </c>
      <c r="AA184" s="17" t="s">
        <v>0</v>
      </c>
      <c r="AB184" s="17" t="s">
        <v>0</v>
      </c>
      <c r="AC184" s="13" t="s">
        <v>0</v>
      </c>
      <c r="AD184" s="13" t="s">
        <v>1</v>
      </c>
      <c r="AE184" s="13" t="s">
        <v>1</v>
      </c>
      <c r="AF184" s="13" t="s">
        <v>1</v>
      </c>
      <c r="AG184" s="13" t="s">
        <v>1</v>
      </c>
      <c r="AH184" s="112"/>
      <c r="AI184" s="10">
        <f t="shared" si="62"/>
        <v>0</v>
      </c>
      <c r="AJ184" s="9">
        <f t="shared" si="63"/>
        <v>0</v>
      </c>
    </row>
    <row r="185" spans="1:36" x14ac:dyDescent="0.25">
      <c r="A185" s="16" t="s">
        <v>5</v>
      </c>
      <c r="B185" s="15">
        <f>AJ158</f>
        <v>31</v>
      </c>
      <c r="C185" s="273"/>
      <c r="D185" s="14" t="s">
        <v>1</v>
      </c>
      <c r="E185" s="13" t="s">
        <v>1</v>
      </c>
      <c r="F185" s="13" t="s">
        <v>1</v>
      </c>
      <c r="G185" s="13" t="s">
        <v>1</v>
      </c>
      <c r="H185" s="13" t="s">
        <v>1</v>
      </c>
      <c r="I185" s="12" t="s">
        <v>0</v>
      </c>
      <c r="J185" s="12" t="s">
        <v>0</v>
      </c>
      <c r="K185" s="12" t="s">
        <v>0</v>
      </c>
      <c r="L185" s="13" t="s">
        <v>2</v>
      </c>
      <c r="M185" s="13" t="s">
        <v>2</v>
      </c>
      <c r="N185" s="13" t="s">
        <v>2</v>
      </c>
      <c r="O185" s="13" t="s">
        <v>2</v>
      </c>
      <c r="P185" s="13" t="s">
        <v>2</v>
      </c>
      <c r="Q185" s="13" t="s">
        <v>2</v>
      </c>
      <c r="R185" s="13" t="s">
        <v>0</v>
      </c>
      <c r="S185" s="13" t="s">
        <v>0</v>
      </c>
      <c r="T185" s="13" t="s">
        <v>0</v>
      </c>
      <c r="U185" s="13" t="s">
        <v>1</v>
      </c>
      <c r="V185" s="13" t="s">
        <v>1</v>
      </c>
      <c r="W185" s="13" t="s">
        <v>1</v>
      </c>
      <c r="X185" s="13" t="s">
        <v>1</v>
      </c>
      <c r="Y185" s="13" t="s">
        <v>1</v>
      </c>
      <c r="Z185" s="13" t="s">
        <v>1</v>
      </c>
      <c r="AA185" s="12" t="s">
        <v>0</v>
      </c>
      <c r="AB185" s="12" t="s">
        <v>0</v>
      </c>
      <c r="AC185" s="12" t="s">
        <v>0</v>
      </c>
      <c r="AD185" s="13" t="s">
        <v>2</v>
      </c>
      <c r="AE185" s="13" t="s">
        <v>2</v>
      </c>
      <c r="AF185" s="13" t="s">
        <v>2</v>
      </c>
      <c r="AG185" s="77" t="s">
        <v>2</v>
      </c>
      <c r="AH185" s="112"/>
      <c r="AI185" s="10">
        <f t="shared" si="62"/>
        <v>0</v>
      </c>
      <c r="AJ185" s="9">
        <f t="shared" si="63"/>
        <v>31</v>
      </c>
    </row>
    <row r="186" spans="1:36" ht="15.75" thickBot="1" x14ac:dyDescent="0.3">
      <c r="A186" s="8" t="s">
        <v>46</v>
      </c>
      <c r="B186" s="7"/>
      <c r="C186" s="273"/>
      <c r="D186" s="14"/>
      <c r="E186" s="13"/>
      <c r="F186" s="13"/>
      <c r="G186" s="13"/>
      <c r="H186" s="13"/>
      <c r="I186" s="12"/>
      <c r="J186" s="12"/>
      <c r="K186" s="12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2"/>
      <c r="AB186" s="12"/>
      <c r="AC186" s="12"/>
      <c r="AD186" s="13"/>
      <c r="AE186" s="13"/>
      <c r="AF186" s="13"/>
      <c r="AG186" s="77"/>
      <c r="AH186" s="112"/>
      <c r="AI186" s="10">
        <f t="shared" si="62"/>
        <v>0</v>
      </c>
      <c r="AJ186" s="9">
        <f t="shared" si="63"/>
        <v>0</v>
      </c>
    </row>
    <row r="187" spans="1:36" x14ac:dyDescent="0.25">
      <c r="A187" s="184" t="s">
        <v>39</v>
      </c>
      <c r="B187" s="185">
        <f>AJ161</f>
        <v>17</v>
      </c>
      <c r="C187" s="273"/>
      <c r="D187" s="180" t="s">
        <v>0</v>
      </c>
      <c r="E187" s="176" t="s">
        <v>0</v>
      </c>
      <c r="F187" s="176" t="s">
        <v>1</v>
      </c>
      <c r="G187" s="176" t="s">
        <v>1</v>
      </c>
      <c r="H187" s="176" t="s">
        <v>1</v>
      </c>
      <c r="I187" s="176" t="s">
        <v>1</v>
      </c>
      <c r="J187" s="176" t="s">
        <v>1</v>
      </c>
      <c r="K187" s="176" t="s">
        <v>1</v>
      </c>
      <c r="L187" s="176" t="s">
        <v>0</v>
      </c>
      <c r="M187" s="176" t="s">
        <v>0</v>
      </c>
      <c r="N187" s="176" t="s">
        <v>0</v>
      </c>
      <c r="O187" s="176" t="s">
        <v>2</v>
      </c>
      <c r="P187" s="176" t="s">
        <v>2</v>
      </c>
      <c r="Q187" s="176" t="s">
        <v>2</v>
      </c>
      <c r="R187" s="176" t="s">
        <v>2</v>
      </c>
      <c r="S187" s="176" t="s">
        <v>2</v>
      </c>
      <c r="T187" s="176" t="s">
        <v>2</v>
      </c>
      <c r="U187" s="176" t="s">
        <v>0</v>
      </c>
      <c r="V187" s="176" t="s">
        <v>0</v>
      </c>
      <c r="W187" s="176" t="s">
        <v>0</v>
      </c>
      <c r="X187" s="176" t="s">
        <v>1</v>
      </c>
      <c r="Y187" s="176" t="s">
        <v>1</v>
      </c>
      <c r="Z187" s="176" t="s">
        <v>1</v>
      </c>
      <c r="AA187" s="176" t="s">
        <v>1</v>
      </c>
      <c r="AB187" s="176" t="s">
        <v>1</v>
      </c>
      <c r="AC187" s="176" t="s">
        <v>1</v>
      </c>
      <c r="AD187" s="176" t="s">
        <v>0</v>
      </c>
      <c r="AE187" s="176" t="s">
        <v>0</v>
      </c>
      <c r="AF187" s="176" t="s">
        <v>0</v>
      </c>
      <c r="AG187" s="181" t="s">
        <v>2</v>
      </c>
      <c r="AH187" s="112"/>
      <c r="AI187" s="10">
        <f t="shared" si="62"/>
        <v>0</v>
      </c>
      <c r="AJ187" s="9">
        <f t="shared" si="63"/>
        <v>17</v>
      </c>
    </row>
    <row r="188" spans="1:36" ht="15.75" thickBot="1" x14ac:dyDescent="0.3">
      <c r="A188" s="8" t="s">
        <v>3</v>
      </c>
      <c r="B188" s="7">
        <f>AJ160</f>
        <v>26</v>
      </c>
      <c r="C188" s="275"/>
      <c r="D188" s="75" t="s">
        <v>0</v>
      </c>
      <c r="E188" s="4" t="s">
        <v>0</v>
      </c>
      <c r="F188" s="5" t="s">
        <v>2</v>
      </c>
      <c r="G188" s="5" t="s">
        <v>2</v>
      </c>
      <c r="H188" s="5" t="s">
        <v>2</v>
      </c>
      <c r="I188" s="5" t="s">
        <v>2</v>
      </c>
      <c r="J188" s="5" t="s">
        <v>2</v>
      </c>
      <c r="K188" s="5" t="s">
        <v>2</v>
      </c>
      <c r="L188" s="4" t="s">
        <v>0</v>
      </c>
      <c r="M188" s="4" t="s">
        <v>0</v>
      </c>
      <c r="N188" s="4" t="s">
        <v>0</v>
      </c>
      <c r="O188" s="5" t="s">
        <v>1</v>
      </c>
      <c r="P188" s="5" t="s">
        <v>31</v>
      </c>
      <c r="Q188" s="5" t="s">
        <v>31</v>
      </c>
      <c r="R188" s="5" t="s">
        <v>31</v>
      </c>
      <c r="S188" s="5" t="s">
        <v>31</v>
      </c>
      <c r="T188" s="5" t="s">
        <v>31</v>
      </c>
      <c r="U188" s="5" t="s">
        <v>0</v>
      </c>
      <c r="V188" s="5" t="s">
        <v>0</v>
      </c>
      <c r="W188" s="5" t="s">
        <v>0</v>
      </c>
      <c r="X188" s="5" t="s">
        <v>2</v>
      </c>
      <c r="Y188" s="5" t="s">
        <v>2</v>
      </c>
      <c r="Z188" s="5" t="s">
        <v>2</v>
      </c>
      <c r="AA188" s="5" t="s">
        <v>2</v>
      </c>
      <c r="AB188" s="5" t="s">
        <v>2</v>
      </c>
      <c r="AC188" s="5" t="s">
        <v>2</v>
      </c>
      <c r="AD188" s="4" t="s">
        <v>0</v>
      </c>
      <c r="AE188" s="4" t="s">
        <v>0</v>
      </c>
      <c r="AF188" s="4" t="s">
        <v>0</v>
      </c>
      <c r="AG188" s="96" t="s">
        <v>1</v>
      </c>
      <c r="AH188" s="111"/>
      <c r="AI188" s="10">
        <f t="shared" si="62"/>
        <v>5</v>
      </c>
      <c r="AJ188" s="9">
        <f t="shared" si="63"/>
        <v>21</v>
      </c>
    </row>
    <row r="189" spans="1:36" ht="21.75" thickBot="1" x14ac:dyDescent="0.3">
      <c r="A189" s="91"/>
      <c r="B189" s="91"/>
      <c r="C189" s="93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1"/>
      <c r="AJ189" s="91"/>
    </row>
    <row r="190" spans="1:36" ht="15" customHeight="1" x14ac:dyDescent="0.25">
      <c r="A190" s="240" t="s">
        <v>30</v>
      </c>
      <c r="B190" s="254" t="s">
        <v>29</v>
      </c>
      <c r="C190" s="266">
        <v>45992</v>
      </c>
      <c r="D190" s="72" t="s">
        <v>25</v>
      </c>
      <c r="E190" s="71" t="s">
        <v>24</v>
      </c>
      <c r="F190" s="71" t="s">
        <v>23</v>
      </c>
      <c r="G190" s="71" t="s">
        <v>22</v>
      </c>
      <c r="H190" s="71" t="s">
        <v>28</v>
      </c>
      <c r="I190" s="71" t="s">
        <v>27</v>
      </c>
      <c r="J190" s="71" t="s">
        <v>26</v>
      </c>
      <c r="K190" s="71" t="s">
        <v>25</v>
      </c>
      <c r="L190" s="71" t="s">
        <v>24</v>
      </c>
      <c r="M190" s="71" t="s">
        <v>23</v>
      </c>
      <c r="N190" s="71" t="s">
        <v>22</v>
      </c>
      <c r="O190" s="71" t="s">
        <v>28</v>
      </c>
      <c r="P190" s="71" t="s">
        <v>27</v>
      </c>
      <c r="Q190" s="71" t="s">
        <v>26</v>
      </c>
      <c r="R190" s="71" t="s">
        <v>25</v>
      </c>
      <c r="S190" s="71" t="s">
        <v>24</v>
      </c>
      <c r="T190" s="71" t="s">
        <v>23</v>
      </c>
      <c r="U190" s="71" t="s">
        <v>22</v>
      </c>
      <c r="V190" s="71" t="s">
        <v>28</v>
      </c>
      <c r="W190" s="71" t="s">
        <v>27</v>
      </c>
      <c r="X190" s="71" t="s">
        <v>26</v>
      </c>
      <c r="Y190" s="71" t="s">
        <v>25</v>
      </c>
      <c r="Z190" s="71" t="s">
        <v>24</v>
      </c>
      <c r="AA190" s="71" t="s">
        <v>23</v>
      </c>
      <c r="AB190" s="71" t="s">
        <v>22</v>
      </c>
      <c r="AC190" s="71" t="s">
        <v>28</v>
      </c>
      <c r="AD190" s="71" t="s">
        <v>27</v>
      </c>
      <c r="AE190" s="71" t="s">
        <v>26</v>
      </c>
      <c r="AF190" s="71" t="s">
        <v>25</v>
      </c>
      <c r="AG190" s="71" t="s">
        <v>24</v>
      </c>
      <c r="AH190" s="69" t="s">
        <v>23</v>
      </c>
      <c r="AI190" s="270" t="s">
        <v>21</v>
      </c>
      <c r="AJ190" s="250" t="s">
        <v>20</v>
      </c>
    </row>
    <row r="191" spans="1:36" ht="15.75" thickBot="1" x14ac:dyDescent="0.3">
      <c r="A191" s="241"/>
      <c r="B191" s="255"/>
      <c r="C191" s="267"/>
      <c r="D191" s="68">
        <v>1</v>
      </c>
      <c r="E191" s="67">
        <v>2</v>
      </c>
      <c r="F191" s="67">
        <v>3</v>
      </c>
      <c r="G191" s="67">
        <v>4</v>
      </c>
      <c r="H191" s="67">
        <v>5</v>
      </c>
      <c r="I191" s="67">
        <v>6</v>
      </c>
      <c r="J191" s="67">
        <v>7</v>
      </c>
      <c r="K191" s="67">
        <v>8</v>
      </c>
      <c r="L191" s="67">
        <v>9</v>
      </c>
      <c r="M191" s="67">
        <v>10</v>
      </c>
      <c r="N191" s="67">
        <v>11</v>
      </c>
      <c r="O191" s="67">
        <v>12</v>
      </c>
      <c r="P191" s="67">
        <v>13</v>
      </c>
      <c r="Q191" s="67">
        <v>14</v>
      </c>
      <c r="R191" s="67">
        <v>15</v>
      </c>
      <c r="S191" s="67">
        <v>16</v>
      </c>
      <c r="T191" s="67">
        <v>17</v>
      </c>
      <c r="U191" s="67">
        <v>18</v>
      </c>
      <c r="V191" s="67">
        <v>19</v>
      </c>
      <c r="W191" s="67">
        <v>20</v>
      </c>
      <c r="X191" s="67">
        <v>21</v>
      </c>
      <c r="Y191" s="67">
        <v>22</v>
      </c>
      <c r="Z191" s="67">
        <v>23</v>
      </c>
      <c r="AA191" s="67">
        <v>24</v>
      </c>
      <c r="AB191" s="67">
        <v>25</v>
      </c>
      <c r="AC191" s="67">
        <v>26</v>
      </c>
      <c r="AD191" s="67">
        <v>27</v>
      </c>
      <c r="AE191" s="67">
        <v>28</v>
      </c>
      <c r="AF191" s="67">
        <v>29</v>
      </c>
      <c r="AG191" s="67">
        <v>30</v>
      </c>
      <c r="AH191" s="65">
        <v>31</v>
      </c>
      <c r="AI191" s="271"/>
      <c r="AJ191" s="251"/>
    </row>
    <row r="192" spans="1:36" ht="15.75" thickBot="1" x14ac:dyDescent="0.3">
      <c r="A192" s="234" t="s">
        <v>19</v>
      </c>
      <c r="B192" s="235">
        <f t="shared" ref="B192:B201" si="64">AJ165</f>
        <v>13</v>
      </c>
      <c r="C192" s="268"/>
      <c r="D192" s="44" t="s">
        <v>2</v>
      </c>
      <c r="E192" s="42" t="s">
        <v>2</v>
      </c>
      <c r="F192" s="42" t="s">
        <v>2</v>
      </c>
      <c r="G192" s="42" t="s">
        <v>0</v>
      </c>
      <c r="H192" s="42" t="s">
        <v>0</v>
      </c>
      <c r="I192" s="43" t="s">
        <v>2</v>
      </c>
      <c r="J192" s="43" t="s">
        <v>2</v>
      </c>
      <c r="K192" s="42" t="s">
        <v>2</v>
      </c>
      <c r="L192" s="42" t="s">
        <v>2</v>
      </c>
      <c r="M192" s="42" t="s">
        <v>2</v>
      </c>
      <c r="N192" s="42" t="s">
        <v>0</v>
      </c>
      <c r="O192" s="42" t="s">
        <v>0</v>
      </c>
      <c r="P192" s="43" t="s">
        <v>2</v>
      </c>
      <c r="Q192" s="43" t="s">
        <v>2</v>
      </c>
      <c r="R192" s="42" t="s">
        <v>2</v>
      </c>
      <c r="S192" s="42" t="s">
        <v>2</v>
      </c>
      <c r="T192" s="42" t="s">
        <v>2</v>
      </c>
      <c r="U192" s="42" t="s">
        <v>0</v>
      </c>
      <c r="V192" s="42" t="s">
        <v>0</v>
      </c>
      <c r="W192" s="43" t="s">
        <v>2</v>
      </c>
      <c r="X192" s="43" t="s">
        <v>2</v>
      </c>
      <c r="Y192" s="43" t="s">
        <v>2</v>
      </c>
      <c r="Z192" s="43" t="s">
        <v>2</v>
      </c>
      <c r="AA192" s="43" t="s">
        <v>2</v>
      </c>
      <c r="AB192" s="42" t="s">
        <v>0</v>
      </c>
      <c r="AC192" s="42" t="s">
        <v>0</v>
      </c>
      <c r="AD192" s="42" t="s">
        <v>31</v>
      </c>
      <c r="AE192" s="42" t="s">
        <v>31</v>
      </c>
      <c r="AF192" s="42" t="s">
        <v>31</v>
      </c>
      <c r="AG192" s="42" t="s">
        <v>31</v>
      </c>
      <c r="AH192" s="84" t="s">
        <v>31</v>
      </c>
      <c r="AI192" s="88">
        <f t="shared" ref="AI192:AI208" si="65">COUNTIF(D192:AH192,"V")</f>
        <v>5</v>
      </c>
      <c r="AJ192" s="60">
        <f t="shared" ref="AJ192:AJ205" si="66">B192-AI192</f>
        <v>8</v>
      </c>
    </row>
    <row r="193" spans="1:36" x14ac:dyDescent="0.25">
      <c r="A193" s="64" t="s">
        <v>16</v>
      </c>
      <c r="B193" s="63">
        <f t="shared" si="64"/>
        <v>7</v>
      </c>
      <c r="C193" s="268"/>
      <c r="D193" s="50" t="s">
        <v>31</v>
      </c>
      <c r="E193" s="35" t="s">
        <v>31</v>
      </c>
      <c r="F193" s="35" t="s">
        <v>31</v>
      </c>
      <c r="G193" s="35" t="s">
        <v>0</v>
      </c>
      <c r="H193" s="35" t="s">
        <v>0</v>
      </c>
      <c r="I193" s="35" t="s">
        <v>31</v>
      </c>
      <c r="J193" s="35" t="s">
        <v>31</v>
      </c>
      <c r="K193" s="35" t="s">
        <v>2</v>
      </c>
      <c r="L193" s="35" t="s">
        <v>2</v>
      </c>
      <c r="M193" s="35" t="s">
        <v>2</v>
      </c>
      <c r="N193" s="36" t="s">
        <v>0</v>
      </c>
      <c r="O193" s="36" t="s">
        <v>0</v>
      </c>
      <c r="P193" s="35" t="s">
        <v>2</v>
      </c>
      <c r="Q193" s="35" t="s">
        <v>2</v>
      </c>
      <c r="R193" s="35" t="s">
        <v>2</v>
      </c>
      <c r="S193" s="35" t="s">
        <v>2</v>
      </c>
      <c r="T193" s="35" t="s">
        <v>2</v>
      </c>
      <c r="U193" s="36" t="s">
        <v>0</v>
      </c>
      <c r="V193" s="36" t="s">
        <v>0</v>
      </c>
      <c r="W193" s="35" t="s">
        <v>2</v>
      </c>
      <c r="X193" s="35" t="s">
        <v>2</v>
      </c>
      <c r="Y193" s="35" t="s">
        <v>2</v>
      </c>
      <c r="Z193" s="35" t="s">
        <v>2</v>
      </c>
      <c r="AA193" s="35" t="s">
        <v>2</v>
      </c>
      <c r="AB193" s="36" t="s">
        <v>0</v>
      </c>
      <c r="AC193" s="36" t="s">
        <v>0</v>
      </c>
      <c r="AD193" s="35" t="s">
        <v>2</v>
      </c>
      <c r="AE193" s="35" t="s">
        <v>2</v>
      </c>
      <c r="AF193" s="35" t="s">
        <v>2</v>
      </c>
      <c r="AG193" s="35" t="s">
        <v>2</v>
      </c>
      <c r="AH193" s="87" t="s">
        <v>2</v>
      </c>
      <c r="AI193" s="76">
        <f t="shared" ref="AI193:AI197" si="67">COUNTIF(D193:AH193,"V")</f>
        <v>5</v>
      </c>
      <c r="AJ193" s="9">
        <f t="shared" ref="AJ193:AJ197" si="68">B193-AI193</f>
        <v>2</v>
      </c>
    </row>
    <row r="194" spans="1:36" x14ac:dyDescent="0.25">
      <c r="A194" s="59" t="s">
        <v>36</v>
      </c>
      <c r="B194" s="58">
        <f t="shared" si="64"/>
        <v>26</v>
      </c>
      <c r="C194" s="268"/>
      <c r="D194" s="50" t="s">
        <v>2</v>
      </c>
      <c r="E194" s="35" t="s">
        <v>2</v>
      </c>
      <c r="F194" s="35" t="s">
        <v>2</v>
      </c>
      <c r="G194" s="36" t="s">
        <v>0</v>
      </c>
      <c r="H194" s="36" t="s">
        <v>0</v>
      </c>
      <c r="I194" s="35" t="s">
        <v>2</v>
      </c>
      <c r="J194" s="35" t="s">
        <v>2</v>
      </c>
      <c r="K194" s="35" t="s">
        <v>2</v>
      </c>
      <c r="L194" s="35" t="s">
        <v>2</v>
      </c>
      <c r="M194" s="35" t="s">
        <v>2</v>
      </c>
      <c r="N194" s="36" t="s">
        <v>0</v>
      </c>
      <c r="O194" s="36" t="s">
        <v>0</v>
      </c>
      <c r="P194" s="35" t="s">
        <v>2</v>
      </c>
      <c r="Q194" s="35" t="s">
        <v>2</v>
      </c>
      <c r="R194" s="35" t="s">
        <v>2</v>
      </c>
      <c r="S194" s="35" t="s">
        <v>2</v>
      </c>
      <c r="T194" s="35" t="s">
        <v>2</v>
      </c>
      <c r="U194" s="36" t="s">
        <v>0</v>
      </c>
      <c r="V194" s="36" t="s">
        <v>0</v>
      </c>
      <c r="W194" s="35" t="s">
        <v>2</v>
      </c>
      <c r="X194" s="35" t="s">
        <v>2</v>
      </c>
      <c r="Y194" s="35" t="s">
        <v>2</v>
      </c>
      <c r="Z194" s="35" t="s">
        <v>2</v>
      </c>
      <c r="AA194" s="35" t="s">
        <v>2</v>
      </c>
      <c r="AB194" s="36" t="s">
        <v>0</v>
      </c>
      <c r="AC194" s="36" t="s">
        <v>0</v>
      </c>
      <c r="AD194" s="35" t="s">
        <v>2</v>
      </c>
      <c r="AE194" s="35" t="s">
        <v>2</v>
      </c>
      <c r="AF194" s="35" t="s">
        <v>2</v>
      </c>
      <c r="AG194" s="35" t="s">
        <v>47</v>
      </c>
      <c r="AH194" s="87" t="s">
        <v>31</v>
      </c>
      <c r="AI194" s="76">
        <f t="shared" si="67"/>
        <v>1</v>
      </c>
      <c r="AJ194" s="9">
        <f t="shared" si="68"/>
        <v>25</v>
      </c>
    </row>
    <row r="195" spans="1:36" x14ac:dyDescent="0.25">
      <c r="A195" s="59" t="s">
        <v>17</v>
      </c>
      <c r="B195" s="58">
        <f t="shared" si="64"/>
        <v>12</v>
      </c>
      <c r="C195" s="268"/>
      <c r="D195" s="50" t="s">
        <v>2</v>
      </c>
      <c r="E195" s="35" t="s">
        <v>2</v>
      </c>
      <c r="F195" s="35" t="s">
        <v>2</v>
      </c>
      <c r="G195" s="35" t="s">
        <v>2</v>
      </c>
      <c r="H195" s="35" t="s">
        <v>2</v>
      </c>
      <c r="I195" s="36" t="s">
        <v>0</v>
      </c>
      <c r="J195" s="36" t="s">
        <v>0</v>
      </c>
      <c r="K195" s="35" t="s">
        <v>2</v>
      </c>
      <c r="L195" s="35" t="s">
        <v>2</v>
      </c>
      <c r="M195" s="35" t="s">
        <v>2</v>
      </c>
      <c r="N195" s="35" t="s">
        <v>2</v>
      </c>
      <c r="O195" s="35" t="s">
        <v>2</v>
      </c>
      <c r="P195" s="36" t="s">
        <v>0</v>
      </c>
      <c r="Q195" s="36" t="s">
        <v>0</v>
      </c>
      <c r="R195" s="35" t="s">
        <v>2</v>
      </c>
      <c r="S195" s="35" t="s">
        <v>2</v>
      </c>
      <c r="T195" s="35" t="s">
        <v>2</v>
      </c>
      <c r="U195" s="35" t="s">
        <v>2</v>
      </c>
      <c r="V195" s="35" t="s">
        <v>2</v>
      </c>
      <c r="W195" s="36" t="s">
        <v>0</v>
      </c>
      <c r="X195" s="36" t="s">
        <v>0</v>
      </c>
      <c r="Y195" s="35" t="s">
        <v>2</v>
      </c>
      <c r="Z195" s="35" t="s">
        <v>2</v>
      </c>
      <c r="AA195" s="35" t="s">
        <v>2</v>
      </c>
      <c r="AB195" s="35" t="s">
        <v>2</v>
      </c>
      <c r="AC195" s="35" t="s">
        <v>2</v>
      </c>
      <c r="AD195" s="36" t="s">
        <v>0</v>
      </c>
      <c r="AE195" s="36" t="s">
        <v>0</v>
      </c>
      <c r="AF195" s="35" t="s">
        <v>2</v>
      </c>
      <c r="AG195" s="35" t="s">
        <v>2</v>
      </c>
      <c r="AH195" s="87" t="s">
        <v>2</v>
      </c>
      <c r="AI195" s="76">
        <f t="shared" si="67"/>
        <v>0</v>
      </c>
      <c r="AJ195" s="9">
        <f t="shared" si="68"/>
        <v>12</v>
      </c>
    </row>
    <row r="196" spans="1:36" x14ac:dyDescent="0.25">
      <c r="A196" s="59" t="s">
        <v>18</v>
      </c>
      <c r="B196" s="58">
        <f t="shared" si="64"/>
        <v>5</v>
      </c>
      <c r="C196" s="268"/>
      <c r="D196" s="50" t="s">
        <v>2</v>
      </c>
      <c r="E196" s="35" t="s">
        <v>2</v>
      </c>
      <c r="F196" s="35" t="s">
        <v>2</v>
      </c>
      <c r="G196" s="35" t="s">
        <v>2</v>
      </c>
      <c r="H196" s="35" t="s">
        <v>2</v>
      </c>
      <c r="I196" s="36" t="s">
        <v>0</v>
      </c>
      <c r="J196" s="36" t="s">
        <v>0</v>
      </c>
      <c r="K196" s="35" t="s">
        <v>2</v>
      </c>
      <c r="L196" s="35" t="s">
        <v>2</v>
      </c>
      <c r="M196" s="35" t="s">
        <v>2</v>
      </c>
      <c r="N196" s="35" t="s">
        <v>2</v>
      </c>
      <c r="O196" s="35" t="s">
        <v>2</v>
      </c>
      <c r="P196" s="36" t="s">
        <v>0</v>
      </c>
      <c r="Q196" s="36" t="s">
        <v>0</v>
      </c>
      <c r="R196" s="35" t="s">
        <v>2</v>
      </c>
      <c r="S196" s="35" t="s">
        <v>2</v>
      </c>
      <c r="T196" s="35" t="s">
        <v>2</v>
      </c>
      <c r="U196" s="35" t="s">
        <v>2</v>
      </c>
      <c r="V196" s="35" t="s">
        <v>2</v>
      </c>
      <c r="W196" s="36" t="s">
        <v>0</v>
      </c>
      <c r="X196" s="36" t="s">
        <v>0</v>
      </c>
      <c r="Y196" s="35" t="s">
        <v>2</v>
      </c>
      <c r="Z196" s="35" t="s">
        <v>2</v>
      </c>
      <c r="AA196" s="35" t="s">
        <v>2</v>
      </c>
      <c r="AB196" s="35" t="s">
        <v>2</v>
      </c>
      <c r="AC196" s="35" t="s">
        <v>2</v>
      </c>
      <c r="AD196" s="36" t="s">
        <v>0</v>
      </c>
      <c r="AE196" s="36" t="s">
        <v>0</v>
      </c>
      <c r="AF196" s="35" t="s">
        <v>2</v>
      </c>
      <c r="AG196" s="35" t="s">
        <v>2</v>
      </c>
      <c r="AH196" s="87" t="s">
        <v>2</v>
      </c>
      <c r="AI196" s="76">
        <f t="shared" si="67"/>
        <v>0</v>
      </c>
      <c r="AJ196" s="9">
        <f t="shared" si="68"/>
        <v>5</v>
      </c>
    </row>
    <row r="197" spans="1:36" ht="15.75" thickBot="1" x14ac:dyDescent="0.3">
      <c r="A197" s="164" t="s">
        <v>37</v>
      </c>
      <c r="B197" s="165">
        <f t="shared" si="64"/>
        <v>9</v>
      </c>
      <c r="C197" s="268"/>
      <c r="D197" s="119" t="s">
        <v>2</v>
      </c>
      <c r="E197" s="117" t="s">
        <v>2</v>
      </c>
      <c r="F197" s="117" t="s">
        <v>2</v>
      </c>
      <c r="G197" s="117" t="s">
        <v>2</v>
      </c>
      <c r="H197" s="117" t="s">
        <v>2</v>
      </c>
      <c r="I197" s="118" t="s">
        <v>0</v>
      </c>
      <c r="J197" s="118" t="s">
        <v>0</v>
      </c>
      <c r="K197" s="117" t="s">
        <v>2</v>
      </c>
      <c r="L197" s="117" t="s">
        <v>2</v>
      </c>
      <c r="M197" s="117" t="s">
        <v>2</v>
      </c>
      <c r="N197" s="117" t="s">
        <v>2</v>
      </c>
      <c r="O197" s="117" t="s">
        <v>2</v>
      </c>
      <c r="P197" s="118" t="s">
        <v>0</v>
      </c>
      <c r="Q197" s="118" t="s">
        <v>0</v>
      </c>
      <c r="R197" s="117" t="s">
        <v>2</v>
      </c>
      <c r="S197" s="117" t="s">
        <v>2</v>
      </c>
      <c r="T197" s="117" t="s">
        <v>2</v>
      </c>
      <c r="U197" s="117" t="s">
        <v>2</v>
      </c>
      <c r="V197" s="117" t="s">
        <v>2</v>
      </c>
      <c r="W197" s="118" t="s">
        <v>0</v>
      </c>
      <c r="X197" s="118" t="s">
        <v>0</v>
      </c>
      <c r="Y197" s="117" t="s">
        <v>2</v>
      </c>
      <c r="Z197" s="117" t="s">
        <v>2</v>
      </c>
      <c r="AA197" s="117" t="s">
        <v>2</v>
      </c>
      <c r="AB197" s="117" t="s">
        <v>2</v>
      </c>
      <c r="AC197" s="117" t="s">
        <v>2</v>
      </c>
      <c r="AD197" s="118" t="s">
        <v>0</v>
      </c>
      <c r="AE197" s="118" t="s">
        <v>0</v>
      </c>
      <c r="AF197" s="117" t="s">
        <v>2</v>
      </c>
      <c r="AG197" s="117" t="s">
        <v>2</v>
      </c>
      <c r="AH197" s="197" t="s">
        <v>2</v>
      </c>
      <c r="AI197" s="76">
        <f t="shared" si="67"/>
        <v>0</v>
      </c>
      <c r="AJ197" s="9">
        <f t="shared" si="68"/>
        <v>9</v>
      </c>
    </row>
    <row r="198" spans="1:36" x14ac:dyDescent="0.25">
      <c r="A198" s="55" t="s">
        <v>15</v>
      </c>
      <c r="B198" s="54">
        <f t="shared" si="64"/>
        <v>10</v>
      </c>
      <c r="C198" s="268"/>
      <c r="D198" s="44" t="s">
        <v>2</v>
      </c>
      <c r="E198" s="42" t="s">
        <v>2</v>
      </c>
      <c r="F198" s="42" t="s">
        <v>2</v>
      </c>
      <c r="G198" s="42" t="s">
        <v>2</v>
      </c>
      <c r="H198" s="43" t="s">
        <v>0</v>
      </c>
      <c r="I198" s="43" t="s">
        <v>0</v>
      </c>
      <c r="J198" s="42" t="s">
        <v>2</v>
      </c>
      <c r="K198" s="42" t="s">
        <v>2</v>
      </c>
      <c r="L198" s="42" t="s">
        <v>2</v>
      </c>
      <c r="M198" s="42" t="s">
        <v>2</v>
      </c>
      <c r="N198" s="42" t="s">
        <v>2</v>
      </c>
      <c r="O198" s="43" t="s">
        <v>0</v>
      </c>
      <c r="P198" s="43" t="s">
        <v>0</v>
      </c>
      <c r="Q198" s="42" t="s">
        <v>2</v>
      </c>
      <c r="R198" s="42" t="s">
        <v>2</v>
      </c>
      <c r="S198" s="42" t="s">
        <v>2</v>
      </c>
      <c r="T198" s="42" t="s">
        <v>2</v>
      </c>
      <c r="U198" s="42" t="s">
        <v>2</v>
      </c>
      <c r="V198" s="43" t="s">
        <v>0</v>
      </c>
      <c r="W198" s="43" t="s">
        <v>0</v>
      </c>
      <c r="X198" s="42" t="s">
        <v>31</v>
      </c>
      <c r="Y198" s="42" t="s">
        <v>31</v>
      </c>
      <c r="Z198" s="42" t="s">
        <v>31</v>
      </c>
      <c r="AA198" s="42" t="s">
        <v>31</v>
      </c>
      <c r="AB198" s="42" t="s">
        <v>31</v>
      </c>
      <c r="AC198" s="43" t="s">
        <v>0</v>
      </c>
      <c r="AD198" s="43" t="s">
        <v>0</v>
      </c>
      <c r="AE198" s="42" t="s">
        <v>31</v>
      </c>
      <c r="AF198" s="42" t="s">
        <v>31</v>
      </c>
      <c r="AG198" s="42" t="s">
        <v>31</v>
      </c>
      <c r="AH198" s="84" t="s">
        <v>31</v>
      </c>
      <c r="AI198" s="76">
        <f t="shared" si="65"/>
        <v>9</v>
      </c>
      <c r="AJ198" s="9">
        <f t="shared" si="66"/>
        <v>1</v>
      </c>
    </row>
    <row r="199" spans="1:36" ht="14.25" customHeight="1" x14ac:dyDescent="0.25">
      <c r="A199" s="52" t="s">
        <v>14</v>
      </c>
      <c r="B199" s="51">
        <f t="shared" si="64"/>
        <v>19</v>
      </c>
      <c r="C199" s="268"/>
      <c r="D199" s="50" t="s">
        <v>2</v>
      </c>
      <c r="E199" s="35" t="s">
        <v>2</v>
      </c>
      <c r="F199" s="35" t="s">
        <v>2</v>
      </c>
      <c r="G199" s="35" t="s">
        <v>2</v>
      </c>
      <c r="H199" s="36" t="s">
        <v>0</v>
      </c>
      <c r="I199" s="36" t="s">
        <v>0</v>
      </c>
      <c r="J199" s="35" t="s">
        <v>2</v>
      </c>
      <c r="K199" s="35" t="s">
        <v>2</v>
      </c>
      <c r="L199" s="35" t="s">
        <v>2</v>
      </c>
      <c r="M199" s="35" t="s">
        <v>2</v>
      </c>
      <c r="N199" s="35" t="s">
        <v>2</v>
      </c>
      <c r="O199" s="36" t="s">
        <v>0</v>
      </c>
      <c r="P199" s="36" t="s">
        <v>0</v>
      </c>
      <c r="Q199" s="35" t="s">
        <v>2</v>
      </c>
      <c r="R199" s="35" t="s">
        <v>2</v>
      </c>
      <c r="S199" s="35" t="s">
        <v>2</v>
      </c>
      <c r="T199" s="35" t="s">
        <v>2</v>
      </c>
      <c r="U199" s="35" t="s">
        <v>2</v>
      </c>
      <c r="V199" s="36" t="s">
        <v>0</v>
      </c>
      <c r="W199" s="36" t="s">
        <v>0</v>
      </c>
      <c r="X199" s="35" t="s">
        <v>2</v>
      </c>
      <c r="Y199" s="35" t="s">
        <v>2</v>
      </c>
      <c r="Z199" s="35" t="s">
        <v>2</v>
      </c>
      <c r="AA199" s="35" t="s">
        <v>2</v>
      </c>
      <c r="AB199" s="35" t="s">
        <v>2</v>
      </c>
      <c r="AC199" s="36" t="s">
        <v>0</v>
      </c>
      <c r="AD199" s="36" t="s">
        <v>0</v>
      </c>
      <c r="AE199" s="35" t="s">
        <v>2</v>
      </c>
      <c r="AF199" s="35" t="s">
        <v>2</v>
      </c>
      <c r="AG199" s="35" t="s">
        <v>2</v>
      </c>
      <c r="AH199" s="87" t="s">
        <v>2</v>
      </c>
      <c r="AI199" s="76">
        <f t="shared" si="65"/>
        <v>0</v>
      </c>
      <c r="AJ199" s="9">
        <f t="shared" si="66"/>
        <v>19</v>
      </c>
    </row>
    <row r="200" spans="1:36" x14ac:dyDescent="0.25">
      <c r="A200" s="52" t="s">
        <v>13</v>
      </c>
      <c r="B200" s="51">
        <f t="shared" si="64"/>
        <v>8</v>
      </c>
      <c r="C200" s="268"/>
      <c r="D200" s="50" t="s">
        <v>2</v>
      </c>
      <c r="E200" s="35" t="s">
        <v>2</v>
      </c>
      <c r="F200" s="35" t="s">
        <v>2</v>
      </c>
      <c r="G200" s="35" t="s">
        <v>2</v>
      </c>
      <c r="H200" s="36" t="s">
        <v>0</v>
      </c>
      <c r="I200" s="36" t="s">
        <v>0</v>
      </c>
      <c r="J200" s="35" t="s">
        <v>2</v>
      </c>
      <c r="K200" s="35" t="s">
        <v>2</v>
      </c>
      <c r="L200" s="35" t="s">
        <v>2</v>
      </c>
      <c r="M200" s="35" t="s">
        <v>2</v>
      </c>
      <c r="N200" s="35" t="s">
        <v>2</v>
      </c>
      <c r="O200" s="36" t="s">
        <v>0</v>
      </c>
      <c r="P200" s="36" t="s">
        <v>0</v>
      </c>
      <c r="Q200" s="35" t="s">
        <v>31</v>
      </c>
      <c r="R200" s="35" t="s">
        <v>31</v>
      </c>
      <c r="S200" s="35" t="s">
        <v>31</v>
      </c>
      <c r="T200" s="35" t="s">
        <v>31</v>
      </c>
      <c r="U200" s="35" t="s">
        <v>31</v>
      </c>
      <c r="V200" s="36" t="s">
        <v>0</v>
      </c>
      <c r="W200" s="36" t="s">
        <v>0</v>
      </c>
      <c r="X200" s="35" t="s">
        <v>2</v>
      </c>
      <c r="Y200" s="35" t="s">
        <v>2</v>
      </c>
      <c r="Z200" s="35" t="s">
        <v>2</v>
      </c>
      <c r="AA200" s="35" t="s">
        <v>2</v>
      </c>
      <c r="AB200" s="35" t="s">
        <v>2</v>
      </c>
      <c r="AC200" s="36" t="s">
        <v>0</v>
      </c>
      <c r="AD200" s="36" t="s">
        <v>0</v>
      </c>
      <c r="AE200" s="35" t="s">
        <v>2</v>
      </c>
      <c r="AF200" s="35" t="s">
        <v>2</v>
      </c>
      <c r="AG200" s="35" t="s">
        <v>2</v>
      </c>
      <c r="AH200" s="87" t="s">
        <v>2</v>
      </c>
      <c r="AI200" s="76">
        <f t="shared" si="65"/>
        <v>5</v>
      </c>
      <c r="AJ200" s="9">
        <f t="shared" si="66"/>
        <v>3</v>
      </c>
    </row>
    <row r="201" spans="1:36" ht="15.75" thickBot="1" x14ac:dyDescent="0.3">
      <c r="A201" s="49" t="s">
        <v>6</v>
      </c>
      <c r="B201" s="48">
        <f t="shared" si="64"/>
        <v>32</v>
      </c>
      <c r="C201" s="268"/>
      <c r="D201" s="6" t="s">
        <v>2</v>
      </c>
      <c r="E201" s="201" t="s">
        <v>2</v>
      </c>
      <c r="F201" s="201" t="s">
        <v>2</v>
      </c>
      <c r="G201" s="201" t="s">
        <v>2</v>
      </c>
      <c r="H201" s="201" t="s">
        <v>0</v>
      </c>
      <c r="I201" s="201" t="s">
        <v>0</v>
      </c>
      <c r="J201" s="201" t="s">
        <v>0</v>
      </c>
      <c r="K201" s="5" t="s">
        <v>2</v>
      </c>
      <c r="L201" s="5" t="s">
        <v>2</v>
      </c>
      <c r="M201" s="5" t="s">
        <v>2</v>
      </c>
      <c r="N201" s="5" t="s">
        <v>2</v>
      </c>
      <c r="O201" s="5" t="s">
        <v>31</v>
      </c>
      <c r="P201" s="5" t="s">
        <v>31</v>
      </c>
      <c r="Q201" s="5" t="s">
        <v>31</v>
      </c>
      <c r="R201" s="5" t="s">
        <v>31</v>
      </c>
      <c r="S201" s="5" t="s">
        <v>31</v>
      </c>
      <c r="T201" s="5" t="s">
        <v>31</v>
      </c>
      <c r="U201" s="5" t="s">
        <v>31</v>
      </c>
      <c r="V201" s="5" t="s">
        <v>31</v>
      </c>
      <c r="W201" s="5" t="s">
        <v>31</v>
      </c>
      <c r="X201" s="5" t="s">
        <v>31</v>
      </c>
      <c r="Y201" s="5" t="s">
        <v>31</v>
      </c>
      <c r="Z201" s="5" t="s">
        <v>0</v>
      </c>
      <c r="AA201" s="5" t="s">
        <v>0</v>
      </c>
      <c r="AB201" s="5" t="s">
        <v>0</v>
      </c>
      <c r="AC201" s="5" t="s">
        <v>2</v>
      </c>
      <c r="AD201" s="5" t="s">
        <v>2</v>
      </c>
      <c r="AE201" s="5" t="s">
        <v>2</v>
      </c>
      <c r="AF201" s="5" t="s">
        <v>2</v>
      </c>
      <c r="AG201" s="5" t="s">
        <v>31</v>
      </c>
      <c r="AH201" s="202" t="s">
        <v>2</v>
      </c>
      <c r="AI201" s="76">
        <f t="shared" ref="AI201" si="69">COUNTIF(D201:AH201,"V")</f>
        <v>12</v>
      </c>
      <c r="AJ201" s="9">
        <f t="shared" ref="AJ201" si="70">B201-AI201</f>
        <v>20</v>
      </c>
    </row>
    <row r="202" spans="1:36" x14ac:dyDescent="0.25">
      <c r="A202" s="40" t="s">
        <v>11</v>
      </c>
      <c r="B202" s="39">
        <f t="shared" ref="B202:B208" si="71">AJ176</f>
        <v>20</v>
      </c>
      <c r="C202" s="267"/>
      <c r="D202" s="198" t="s">
        <v>1</v>
      </c>
      <c r="E202" s="199" t="s">
        <v>1</v>
      </c>
      <c r="F202" s="122" t="s">
        <v>0</v>
      </c>
      <c r="G202" s="122" t="s">
        <v>0</v>
      </c>
      <c r="H202" s="122" t="s">
        <v>0</v>
      </c>
      <c r="I202" s="121" t="s">
        <v>2</v>
      </c>
      <c r="J202" s="121" t="s">
        <v>2</v>
      </c>
      <c r="K202" s="121" t="s">
        <v>2</v>
      </c>
      <c r="L202" s="200" t="s">
        <v>31</v>
      </c>
      <c r="M202" s="200" t="s">
        <v>1</v>
      </c>
      <c r="N202" s="200" t="s">
        <v>1</v>
      </c>
      <c r="O202" s="122" t="s">
        <v>0</v>
      </c>
      <c r="P202" s="122" t="s">
        <v>0</v>
      </c>
      <c r="Q202" s="122" t="s">
        <v>0</v>
      </c>
      <c r="R202" s="121" t="s">
        <v>2</v>
      </c>
      <c r="S202" s="121" t="s">
        <v>2</v>
      </c>
      <c r="T202" s="121" t="s">
        <v>2</v>
      </c>
      <c r="U202" s="200" t="s">
        <v>1</v>
      </c>
      <c r="V202" s="200" t="s">
        <v>31</v>
      </c>
      <c r="W202" s="200" t="s">
        <v>31</v>
      </c>
      <c r="X202" s="122" t="s">
        <v>0</v>
      </c>
      <c r="Y202" s="122" t="s">
        <v>0</v>
      </c>
      <c r="Z202" s="122" t="s">
        <v>0</v>
      </c>
      <c r="AA202" s="121" t="s">
        <v>2</v>
      </c>
      <c r="AB202" s="121" t="s">
        <v>2</v>
      </c>
      <c r="AC202" s="121" t="s">
        <v>2</v>
      </c>
      <c r="AD202" s="199" t="s">
        <v>1</v>
      </c>
      <c r="AE202" s="199" t="s">
        <v>1</v>
      </c>
      <c r="AF202" s="199" t="s">
        <v>1</v>
      </c>
      <c r="AG202" s="122" t="s">
        <v>0</v>
      </c>
      <c r="AH202" s="171" t="s">
        <v>0</v>
      </c>
      <c r="AI202" s="10">
        <f t="shared" si="65"/>
        <v>3</v>
      </c>
      <c r="AJ202" s="9">
        <f t="shared" si="66"/>
        <v>17</v>
      </c>
    </row>
    <row r="203" spans="1:36" ht="15.75" thickBot="1" x14ac:dyDescent="0.3">
      <c r="A203" s="33" t="s">
        <v>10</v>
      </c>
      <c r="B203" s="32">
        <f t="shared" si="71"/>
        <v>18</v>
      </c>
      <c r="C203" s="267"/>
      <c r="D203" s="47" t="s">
        <v>2</v>
      </c>
      <c r="E203" s="30" t="s">
        <v>2</v>
      </c>
      <c r="F203" s="29" t="s">
        <v>1</v>
      </c>
      <c r="G203" s="29" t="s">
        <v>1</v>
      </c>
      <c r="H203" s="29" t="s">
        <v>1</v>
      </c>
      <c r="I203" s="28" t="s">
        <v>0</v>
      </c>
      <c r="J203" s="28" t="s">
        <v>0</v>
      </c>
      <c r="K203" s="28" t="s">
        <v>0</v>
      </c>
      <c r="L203" s="30" t="s">
        <v>2</v>
      </c>
      <c r="M203" s="30" t="s">
        <v>2</v>
      </c>
      <c r="N203" s="30" t="s">
        <v>2</v>
      </c>
      <c r="O203" s="29" t="s">
        <v>1</v>
      </c>
      <c r="P203" s="29" t="s">
        <v>1</v>
      </c>
      <c r="Q203" s="29" t="s">
        <v>31</v>
      </c>
      <c r="R203" s="28" t="s">
        <v>0</v>
      </c>
      <c r="S203" s="28" t="s">
        <v>0</v>
      </c>
      <c r="T203" s="28" t="s">
        <v>0</v>
      </c>
      <c r="U203" s="30" t="s">
        <v>2</v>
      </c>
      <c r="V203" s="30" t="s">
        <v>2</v>
      </c>
      <c r="W203" s="30" t="s">
        <v>2</v>
      </c>
      <c r="X203" s="29" t="s">
        <v>31</v>
      </c>
      <c r="Y203" s="29" t="s">
        <v>31</v>
      </c>
      <c r="Z203" s="29" t="s">
        <v>31</v>
      </c>
      <c r="AA203" s="29" t="s">
        <v>31</v>
      </c>
      <c r="AB203" s="29" t="s">
        <v>31</v>
      </c>
      <c r="AC203" s="29" t="s">
        <v>31</v>
      </c>
      <c r="AD203" s="29" t="s">
        <v>31</v>
      </c>
      <c r="AE203" s="29" t="s">
        <v>31</v>
      </c>
      <c r="AF203" s="29" t="s">
        <v>31</v>
      </c>
      <c r="AG203" s="29" t="s">
        <v>31</v>
      </c>
      <c r="AH203" s="81" t="s">
        <v>31</v>
      </c>
      <c r="AI203" s="10">
        <f t="shared" si="65"/>
        <v>12</v>
      </c>
      <c r="AJ203" s="9">
        <f t="shared" si="66"/>
        <v>6</v>
      </c>
    </row>
    <row r="204" spans="1:36" ht="15.75" thickBot="1" x14ac:dyDescent="0.3">
      <c r="A204" s="172" t="s">
        <v>7</v>
      </c>
      <c r="B204" s="173">
        <f t="shared" si="71"/>
        <v>31</v>
      </c>
      <c r="C204" s="267"/>
      <c r="D204" s="14" t="s">
        <v>2</v>
      </c>
      <c r="E204" s="13" t="s">
        <v>2</v>
      </c>
      <c r="F204" s="17" t="s">
        <v>2</v>
      </c>
      <c r="G204" s="17" t="s">
        <v>0</v>
      </c>
      <c r="H204" s="17" t="s">
        <v>0</v>
      </c>
      <c r="I204" s="17" t="s">
        <v>2</v>
      </c>
      <c r="J204" s="17" t="s">
        <v>2</v>
      </c>
      <c r="K204" s="17" t="s">
        <v>2</v>
      </c>
      <c r="L204" s="17" t="s">
        <v>2</v>
      </c>
      <c r="M204" s="17" t="s">
        <v>2</v>
      </c>
      <c r="N204" s="17" t="s">
        <v>0</v>
      </c>
      <c r="O204" s="17" t="s">
        <v>0</v>
      </c>
      <c r="P204" s="17" t="s">
        <v>2</v>
      </c>
      <c r="Q204" s="17" t="s">
        <v>2</v>
      </c>
      <c r="R204" s="17" t="s">
        <v>2</v>
      </c>
      <c r="S204" s="17" t="s">
        <v>2</v>
      </c>
      <c r="T204" s="17" t="s">
        <v>2</v>
      </c>
      <c r="U204" s="17" t="s">
        <v>0</v>
      </c>
      <c r="V204" s="17" t="s">
        <v>0</v>
      </c>
      <c r="W204" s="17" t="s">
        <v>2</v>
      </c>
      <c r="X204" s="17" t="s">
        <v>2</v>
      </c>
      <c r="Y204" s="17" t="s">
        <v>2</v>
      </c>
      <c r="Z204" s="17" t="s">
        <v>2</v>
      </c>
      <c r="AA204" s="17" t="s">
        <v>2</v>
      </c>
      <c r="AB204" s="17" t="s">
        <v>0</v>
      </c>
      <c r="AC204" s="17" t="s">
        <v>0</v>
      </c>
      <c r="AD204" s="17" t="s">
        <v>2</v>
      </c>
      <c r="AE204" s="17" t="s">
        <v>2</v>
      </c>
      <c r="AF204" s="17" t="s">
        <v>2</v>
      </c>
      <c r="AG204" s="17" t="s">
        <v>2</v>
      </c>
      <c r="AH204" s="77" t="s">
        <v>2</v>
      </c>
      <c r="AI204" s="10">
        <f t="shared" si="65"/>
        <v>0</v>
      </c>
      <c r="AJ204" s="9">
        <f t="shared" si="66"/>
        <v>31</v>
      </c>
    </row>
    <row r="205" spans="1:36" x14ac:dyDescent="0.25">
      <c r="A205" s="26" t="s">
        <v>9</v>
      </c>
      <c r="B205" s="25">
        <f t="shared" si="71"/>
        <v>31</v>
      </c>
      <c r="C205" s="267"/>
      <c r="D205" s="80" t="s">
        <v>0</v>
      </c>
      <c r="E205" s="22" t="s">
        <v>2</v>
      </c>
      <c r="F205" s="22" t="s">
        <v>2</v>
      </c>
      <c r="G205" s="22" t="s">
        <v>2</v>
      </c>
      <c r="H205" s="23" t="s">
        <v>0</v>
      </c>
      <c r="I205" s="23" t="s">
        <v>0</v>
      </c>
      <c r="J205" s="23" t="s">
        <v>2</v>
      </c>
      <c r="K205" s="23" t="s">
        <v>2</v>
      </c>
      <c r="L205" s="23" t="s">
        <v>2</v>
      </c>
      <c r="M205" s="23" t="s">
        <v>2</v>
      </c>
      <c r="N205" s="23" t="s">
        <v>2</v>
      </c>
      <c r="O205" s="23" t="s">
        <v>0</v>
      </c>
      <c r="P205" s="23" t="s">
        <v>0</v>
      </c>
      <c r="Q205" s="23" t="s">
        <v>2</v>
      </c>
      <c r="R205" s="23" t="s">
        <v>2</v>
      </c>
      <c r="S205" s="23" t="s">
        <v>2</v>
      </c>
      <c r="T205" s="23" t="s">
        <v>2</v>
      </c>
      <c r="U205" s="23" t="s">
        <v>2</v>
      </c>
      <c r="V205" s="23" t="s">
        <v>0</v>
      </c>
      <c r="W205" s="23" t="s">
        <v>0</v>
      </c>
      <c r="X205" s="23" t="s">
        <v>2</v>
      </c>
      <c r="Y205" s="23" t="s">
        <v>2</v>
      </c>
      <c r="Z205" s="23" t="s">
        <v>2</v>
      </c>
      <c r="AA205" s="23" t="s">
        <v>2</v>
      </c>
      <c r="AB205" s="23" t="s">
        <v>2</v>
      </c>
      <c r="AC205" s="23" t="s">
        <v>0</v>
      </c>
      <c r="AD205" s="23" t="s">
        <v>0</v>
      </c>
      <c r="AE205" s="23" t="s">
        <v>31</v>
      </c>
      <c r="AF205" s="23" t="s">
        <v>31</v>
      </c>
      <c r="AG205" s="23" t="s">
        <v>31</v>
      </c>
      <c r="AH205" s="23" t="s">
        <v>31</v>
      </c>
      <c r="AI205" s="10">
        <f t="shared" si="65"/>
        <v>4</v>
      </c>
      <c r="AJ205" s="9">
        <f t="shared" si="66"/>
        <v>27</v>
      </c>
    </row>
    <row r="206" spans="1:36" ht="15.75" thickBot="1" x14ac:dyDescent="0.3">
      <c r="A206" s="172" t="s">
        <v>4</v>
      </c>
      <c r="B206" s="173">
        <f t="shared" si="71"/>
        <v>19</v>
      </c>
      <c r="C206" s="267"/>
      <c r="D206" s="12" t="s">
        <v>0</v>
      </c>
      <c r="E206" s="12" t="s">
        <v>2</v>
      </c>
      <c r="F206" s="12" t="s">
        <v>2</v>
      </c>
      <c r="G206" s="12" t="s">
        <v>2</v>
      </c>
      <c r="H206" s="12" t="s">
        <v>2</v>
      </c>
      <c r="I206" s="12" t="s">
        <v>2</v>
      </c>
      <c r="J206" s="12" t="s">
        <v>2</v>
      </c>
      <c r="K206" s="13" t="s">
        <v>0</v>
      </c>
      <c r="L206" s="13" t="s">
        <v>0</v>
      </c>
      <c r="M206" s="13" t="s">
        <v>0</v>
      </c>
      <c r="N206" s="12" t="s">
        <v>31</v>
      </c>
      <c r="O206" s="12" t="s">
        <v>31</v>
      </c>
      <c r="P206" s="12" t="s">
        <v>31</v>
      </c>
      <c r="Q206" s="12" t="s">
        <v>31</v>
      </c>
      <c r="R206" s="12" t="s">
        <v>2</v>
      </c>
      <c r="S206" s="12" t="s">
        <v>2</v>
      </c>
      <c r="T206" s="13" t="s">
        <v>0</v>
      </c>
      <c r="U206" s="13" t="s">
        <v>0</v>
      </c>
      <c r="V206" s="13" t="s">
        <v>0</v>
      </c>
      <c r="W206" s="12" t="s">
        <v>2</v>
      </c>
      <c r="X206" s="12" t="s">
        <v>2</v>
      </c>
      <c r="Y206" s="12" t="s">
        <v>2</v>
      </c>
      <c r="Z206" s="12" t="s">
        <v>2</v>
      </c>
      <c r="AA206" s="12" t="s">
        <v>2</v>
      </c>
      <c r="AB206" s="12" t="s">
        <v>2</v>
      </c>
      <c r="AC206" s="13" t="s">
        <v>0</v>
      </c>
      <c r="AD206" s="13" t="s">
        <v>0</v>
      </c>
      <c r="AE206" s="13" t="s">
        <v>0</v>
      </c>
      <c r="AF206" s="12" t="s">
        <v>2</v>
      </c>
      <c r="AG206" s="12" t="s">
        <v>2</v>
      </c>
      <c r="AH206" s="77" t="s">
        <v>2</v>
      </c>
      <c r="AI206" s="10">
        <f t="shared" ref="AI206" si="72">COUNTIF(D206:AH206,"V")</f>
        <v>4</v>
      </c>
      <c r="AJ206" s="9">
        <f t="shared" ref="AJ206:AJ208" si="73">B206-AI206</f>
        <v>15</v>
      </c>
    </row>
    <row r="207" spans="1:36" x14ac:dyDescent="0.25">
      <c r="A207" s="26" t="s">
        <v>8</v>
      </c>
      <c r="B207" s="25">
        <f t="shared" si="71"/>
        <v>21</v>
      </c>
      <c r="C207" s="269"/>
      <c r="D207" s="14" t="s">
        <v>0</v>
      </c>
      <c r="E207" s="13" t="s">
        <v>0</v>
      </c>
      <c r="F207" s="13" t="s">
        <v>2</v>
      </c>
      <c r="G207" s="13" t="s">
        <v>2</v>
      </c>
      <c r="H207" s="13" t="s">
        <v>2</v>
      </c>
      <c r="I207" s="13" t="s">
        <v>2</v>
      </c>
      <c r="J207" s="13" t="s">
        <v>2</v>
      </c>
      <c r="K207" s="13" t="s">
        <v>2</v>
      </c>
      <c r="L207" s="17" t="s">
        <v>0</v>
      </c>
      <c r="M207" s="17" t="s">
        <v>0</v>
      </c>
      <c r="N207" s="17" t="s">
        <v>0</v>
      </c>
      <c r="O207" s="12" t="s">
        <v>1</v>
      </c>
      <c r="P207" s="12" t="s">
        <v>1</v>
      </c>
      <c r="Q207" s="12" t="s">
        <v>1</v>
      </c>
      <c r="R207" s="12" t="s">
        <v>1</v>
      </c>
      <c r="S207" s="12" t="s">
        <v>1</v>
      </c>
      <c r="T207" s="12" t="s">
        <v>1</v>
      </c>
      <c r="U207" s="13" t="s">
        <v>0</v>
      </c>
      <c r="V207" s="12" t="s">
        <v>0</v>
      </c>
      <c r="W207" s="12" t="s">
        <v>0</v>
      </c>
      <c r="X207" s="13" t="s">
        <v>2</v>
      </c>
      <c r="Y207" s="13" t="s">
        <v>2</v>
      </c>
      <c r="Z207" s="13" t="s">
        <v>2</v>
      </c>
      <c r="AA207" s="13" t="s">
        <v>2</v>
      </c>
      <c r="AB207" s="13" t="s">
        <v>2</v>
      </c>
      <c r="AC207" s="13" t="s">
        <v>2</v>
      </c>
      <c r="AD207" s="17" t="s">
        <v>0</v>
      </c>
      <c r="AE207" s="17" t="s">
        <v>0</v>
      </c>
      <c r="AF207" s="17" t="s">
        <v>0</v>
      </c>
      <c r="AG207" s="12" t="s">
        <v>1</v>
      </c>
      <c r="AH207" s="100" t="s">
        <v>31</v>
      </c>
      <c r="AI207" s="10">
        <f t="shared" si="65"/>
        <v>1</v>
      </c>
      <c r="AJ207" s="9">
        <f t="shared" si="73"/>
        <v>20</v>
      </c>
    </row>
    <row r="208" spans="1:36" x14ac:dyDescent="0.25">
      <c r="A208" s="16" t="s">
        <v>33</v>
      </c>
      <c r="B208" s="15">
        <f t="shared" si="71"/>
        <v>36</v>
      </c>
      <c r="C208" s="269"/>
      <c r="D208" s="14" t="s">
        <v>0</v>
      </c>
      <c r="E208" s="13" t="s">
        <v>0</v>
      </c>
      <c r="F208" s="17" t="s">
        <v>1</v>
      </c>
      <c r="G208" s="17" t="s">
        <v>1</v>
      </c>
      <c r="H208" s="17" t="s">
        <v>1</v>
      </c>
      <c r="I208" s="17" t="s">
        <v>1</v>
      </c>
      <c r="J208" s="17" t="s">
        <v>1</v>
      </c>
      <c r="K208" s="17" t="s">
        <v>1</v>
      </c>
      <c r="L208" s="17" t="s">
        <v>0</v>
      </c>
      <c r="M208" s="17" t="s">
        <v>0</v>
      </c>
      <c r="N208" s="17" t="s">
        <v>0</v>
      </c>
      <c r="O208" s="17" t="s">
        <v>2</v>
      </c>
      <c r="P208" s="17" t="s">
        <v>2</v>
      </c>
      <c r="Q208" s="17" t="s">
        <v>2</v>
      </c>
      <c r="R208" s="17" t="s">
        <v>2</v>
      </c>
      <c r="S208" s="17" t="s">
        <v>2</v>
      </c>
      <c r="T208" s="17" t="s">
        <v>2</v>
      </c>
      <c r="U208" s="17" t="s">
        <v>0</v>
      </c>
      <c r="V208" s="17" t="s">
        <v>0</v>
      </c>
      <c r="W208" s="12" t="s">
        <v>0</v>
      </c>
      <c r="X208" s="17" t="s">
        <v>31</v>
      </c>
      <c r="Y208" s="17" t="s">
        <v>31</v>
      </c>
      <c r="Z208" s="17" t="s">
        <v>31</v>
      </c>
      <c r="AA208" s="17" t="s">
        <v>31</v>
      </c>
      <c r="AB208" s="17" t="s">
        <v>31</v>
      </c>
      <c r="AC208" s="17" t="s">
        <v>31</v>
      </c>
      <c r="AD208" s="17" t="s">
        <v>31</v>
      </c>
      <c r="AE208" s="17" t="s">
        <v>31</v>
      </c>
      <c r="AF208" s="17" t="s">
        <v>31</v>
      </c>
      <c r="AG208" s="17" t="s">
        <v>2</v>
      </c>
      <c r="AH208" s="77" t="s">
        <v>2</v>
      </c>
      <c r="AI208" s="10">
        <f t="shared" si="65"/>
        <v>9</v>
      </c>
      <c r="AJ208" s="9">
        <f t="shared" si="73"/>
        <v>27</v>
      </c>
    </row>
    <row r="209" spans="1:36" ht="15.75" thickBot="1" x14ac:dyDescent="0.3">
      <c r="A209" s="8" t="s">
        <v>45</v>
      </c>
      <c r="B209" s="7">
        <f>AJ183</f>
        <v>9</v>
      </c>
      <c r="C209" s="269"/>
      <c r="D209" s="14" t="s">
        <v>2</v>
      </c>
      <c r="E209" s="13" t="s">
        <v>2</v>
      </c>
      <c r="F209" s="13" t="s">
        <v>0</v>
      </c>
      <c r="G209" s="13" t="s">
        <v>2</v>
      </c>
      <c r="H209" s="13" t="s">
        <v>2</v>
      </c>
      <c r="I209" s="17" t="s">
        <v>31</v>
      </c>
      <c r="J209" s="17" t="s">
        <v>2</v>
      </c>
      <c r="K209" s="17" t="s">
        <v>2</v>
      </c>
      <c r="L209" s="17" t="s">
        <v>2</v>
      </c>
      <c r="M209" s="17" t="s">
        <v>0</v>
      </c>
      <c r="N209" s="17" t="s">
        <v>0</v>
      </c>
      <c r="O209" s="17" t="s">
        <v>2</v>
      </c>
      <c r="P209" s="17" t="s">
        <v>0</v>
      </c>
      <c r="Q209" s="17" t="s">
        <v>1</v>
      </c>
      <c r="R209" s="17" t="s">
        <v>1</v>
      </c>
      <c r="S209" s="17" t="s">
        <v>1</v>
      </c>
      <c r="T209" s="17" t="s">
        <v>1</v>
      </c>
      <c r="U209" s="17" t="s">
        <v>0</v>
      </c>
      <c r="V209" s="17" t="s">
        <v>0</v>
      </c>
      <c r="W209" s="12" t="s">
        <v>0</v>
      </c>
      <c r="X209" s="17" t="s">
        <v>1</v>
      </c>
      <c r="Y209" s="17" t="s">
        <v>1</v>
      </c>
      <c r="Z209" s="17" t="s">
        <v>1</v>
      </c>
      <c r="AA209" s="17" t="s">
        <v>1</v>
      </c>
      <c r="AB209" s="17" t="s">
        <v>1</v>
      </c>
      <c r="AC209" s="17" t="s">
        <v>1</v>
      </c>
      <c r="AD209" s="17" t="s">
        <v>0</v>
      </c>
      <c r="AE209" s="17" t="s">
        <v>0</v>
      </c>
      <c r="AF209" s="17" t="s">
        <v>0</v>
      </c>
      <c r="AG209" s="17" t="s">
        <v>2</v>
      </c>
      <c r="AH209" s="77" t="s">
        <v>2</v>
      </c>
      <c r="AI209" s="10">
        <f t="shared" ref="AI209:AI214" si="74">COUNTIF(D209:AH209,"V")</f>
        <v>1</v>
      </c>
      <c r="AJ209" s="9">
        <f t="shared" ref="AJ209:AJ214" si="75">B209-AI209</f>
        <v>8</v>
      </c>
    </row>
    <row r="210" spans="1:36" x14ac:dyDescent="0.25">
      <c r="A210" s="26" t="s">
        <v>43</v>
      </c>
      <c r="B210" s="25"/>
      <c r="C210" s="268"/>
      <c r="D210" s="13" t="s">
        <v>1</v>
      </c>
      <c r="E210" s="13" t="s">
        <v>1</v>
      </c>
      <c r="F210" s="17" t="s">
        <v>0</v>
      </c>
      <c r="G210" s="17" t="s">
        <v>0</v>
      </c>
      <c r="H210" s="17" t="s">
        <v>0</v>
      </c>
      <c r="I210" s="17" t="s">
        <v>2</v>
      </c>
      <c r="J210" s="17" t="s">
        <v>2</v>
      </c>
      <c r="K210" s="17" t="s">
        <v>2</v>
      </c>
      <c r="L210" s="17" t="s">
        <v>2</v>
      </c>
      <c r="M210" s="17" t="s">
        <v>2</v>
      </c>
      <c r="N210" s="17" t="s">
        <v>2</v>
      </c>
      <c r="O210" s="17" t="s">
        <v>0</v>
      </c>
      <c r="P210" s="17" t="s">
        <v>0</v>
      </c>
      <c r="Q210" s="17" t="s">
        <v>0</v>
      </c>
      <c r="R210" s="17" t="s">
        <v>1</v>
      </c>
      <c r="S210" s="17" t="s">
        <v>1</v>
      </c>
      <c r="T210" s="17" t="s">
        <v>1</v>
      </c>
      <c r="U210" s="17" t="s">
        <v>1</v>
      </c>
      <c r="V210" s="17" t="s">
        <v>1</v>
      </c>
      <c r="W210" s="17" t="s">
        <v>1</v>
      </c>
      <c r="X210" s="17" t="s">
        <v>0</v>
      </c>
      <c r="Y210" s="17" t="s">
        <v>0</v>
      </c>
      <c r="Z210" s="17" t="s">
        <v>0</v>
      </c>
      <c r="AA210" s="17" t="s">
        <v>2</v>
      </c>
      <c r="AB210" s="17" t="s">
        <v>2</v>
      </c>
      <c r="AC210" s="17" t="s">
        <v>2</v>
      </c>
      <c r="AD210" s="17" t="s">
        <v>2</v>
      </c>
      <c r="AE210" s="17" t="s">
        <v>2</v>
      </c>
      <c r="AF210" s="17" t="s">
        <v>2</v>
      </c>
      <c r="AG210" s="17" t="s">
        <v>0</v>
      </c>
      <c r="AH210" s="13" t="s">
        <v>0</v>
      </c>
      <c r="AI210" s="10">
        <f t="shared" si="74"/>
        <v>0</v>
      </c>
      <c r="AJ210" s="9">
        <f t="shared" si="75"/>
        <v>0</v>
      </c>
    </row>
    <row r="211" spans="1:36" ht="15.75" thickBot="1" x14ac:dyDescent="0.3">
      <c r="A211" s="8" t="s">
        <v>5</v>
      </c>
      <c r="B211" s="7">
        <f>AJ185</f>
        <v>31</v>
      </c>
      <c r="C211" s="268"/>
      <c r="D211" s="13" t="s">
        <v>2</v>
      </c>
      <c r="E211" s="13" t="s">
        <v>2</v>
      </c>
      <c r="F211" s="17" t="s">
        <v>0</v>
      </c>
      <c r="G211" s="17" t="s">
        <v>0</v>
      </c>
      <c r="H211" s="17" t="s">
        <v>0</v>
      </c>
      <c r="I211" s="13" t="s">
        <v>1</v>
      </c>
      <c r="J211" s="13" t="s">
        <v>1</v>
      </c>
      <c r="K211" s="13" t="s">
        <v>1</v>
      </c>
      <c r="L211" s="13" t="s">
        <v>1</v>
      </c>
      <c r="M211" s="13" t="s">
        <v>1</v>
      </c>
      <c r="N211" s="13" t="s">
        <v>1</v>
      </c>
      <c r="O211" s="17" t="s">
        <v>0</v>
      </c>
      <c r="P211" s="17" t="s">
        <v>0</v>
      </c>
      <c r="Q211" s="17" t="s">
        <v>0</v>
      </c>
      <c r="R211" s="13" t="s">
        <v>2</v>
      </c>
      <c r="S211" s="13" t="s">
        <v>2</v>
      </c>
      <c r="T211" s="13" t="s">
        <v>2</v>
      </c>
      <c r="U211" s="13" t="s">
        <v>2</v>
      </c>
      <c r="V211" s="13" t="s">
        <v>2</v>
      </c>
      <c r="W211" s="13" t="s">
        <v>2</v>
      </c>
      <c r="X211" s="17" t="s">
        <v>0</v>
      </c>
      <c r="Y211" s="17" t="s">
        <v>0</v>
      </c>
      <c r="Z211" s="17" t="s">
        <v>0</v>
      </c>
      <c r="AA211" s="13" t="s">
        <v>1</v>
      </c>
      <c r="AB211" s="13" t="s">
        <v>1</v>
      </c>
      <c r="AC211" s="13" t="s">
        <v>1</v>
      </c>
      <c r="AD211" s="13" t="s">
        <v>1</v>
      </c>
      <c r="AE211" s="13" t="s">
        <v>1</v>
      </c>
      <c r="AF211" s="13" t="s">
        <v>1</v>
      </c>
      <c r="AG211" s="13" t="s">
        <v>0</v>
      </c>
      <c r="AH211" s="17" t="s">
        <v>0</v>
      </c>
      <c r="AI211" s="10">
        <f t="shared" si="74"/>
        <v>0</v>
      </c>
      <c r="AJ211" s="9">
        <f t="shared" si="75"/>
        <v>31</v>
      </c>
    </row>
    <row r="212" spans="1:36" ht="15.75" thickBot="1" x14ac:dyDescent="0.3">
      <c r="A212" s="184" t="s">
        <v>46</v>
      </c>
      <c r="B212" s="185"/>
      <c r="C212" s="268"/>
      <c r="D212" s="13" t="s">
        <v>2</v>
      </c>
      <c r="E212" s="13" t="s">
        <v>2</v>
      </c>
      <c r="F212" s="17" t="s">
        <v>2</v>
      </c>
      <c r="G212" s="17" t="s">
        <v>0</v>
      </c>
      <c r="H212" s="17" t="s">
        <v>0</v>
      </c>
      <c r="I212" s="17" t="s">
        <v>2</v>
      </c>
      <c r="J212" s="17" t="s">
        <v>2</v>
      </c>
      <c r="K212" s="17" t="s">
        <v>2</v>
      </c>
      <c r="L212" s="17" t="s">
        <v>2</v>
      </c>
      <c r="M212" s="17" t="s">
        <v>2</v>
      </c>
      <c r="N212" s="17" t="s">
        <v>0</v>
      </c>
      <c r="O212" s="17" t="s">
        <v>0</v>
      </c>
      <c r="P212" s="17" t="s">
        <v>2</v>
      </c>
      <c r="Q212" s="17" t="s">
        <v>2</v>
      </c>
      <c r="R212" s="17" t="s">
        <v>2</v>
      </c>
      <c r="S212" s="17" t="s">
        <v>2</v>
      </c>
      <c r="T212" s="17" t="s">
        <v>2</v>
      </c>
      <c r="U212" s="17" t="s">
        <v>0</v>
      </c>
      <c r="V212" s="17" t="s">
        <v>0</v>
      </c>
      <c r="W212" s="17" t="s">
        <v>2</v>
      </c>
      <c r="X212" s="17" t="s">
        <v>2</v>
      </c>
      <c r="Y212" s="17" t="s">
        <v>2</v>
      </c>
      <c r="Z212" s="17" t="s">
        <v>2</v>
      </c>
      <c r="AA212" s="17" t="s">
        <v>2</v>
      </c>
      <c r="AB212" s="17" t="s">
        <v>0</v>
      </c>
      <c r="AC212" s="17" t="s">
        <v>0</v>
      </c>
      <c r="AD212" s="17" t="s">
        <v>2</v>
      </c>
      <c r="AE212" s="17" t="s">
        <v>2</v>
      </c>
      <c r="AF212" s="17" t="s">
        <v>2</v>
      </c>
      <c r="AG212" s="17" t="s">
        <v>2</v>
      </c>
      <c r="AH212" s="17" t="s">
        <v>1</v>
      </c>
      <c r="AI212" s="10">
        <f t="shared" si="74"/>
        <v>0</v>
      </c>
      <c r="AJ212" s="9">
        <f t="shared" si="75"/>
        <v>0</v>
      </c>
    </row>
    <row r="213" spans="1:36" x14ac:dyDescent="0.25">
      <c r="A213" s="26" t="s">
        <v>3</v>
      </c>
      <c r="B213" s="25">
        <f>AJ188</f>
        <v>21</v>
      </c>
      <c r="C213" s="268"/>
      <c r="D213" s="13" t="s">
        <v>1</v>
      </c>
      <c r="E213" s="13" t="s">
        <v>1</v>
      </c>
      <c r="F213" s="13" t="s">
        <v>1</v>
      </c>
      <c r="G213" s="13" t="s">
        <v>1</v>
      </c>
      <c r="H213" s="13" t="s">
        <v>1</v>
      </c>
      <c r="I213" s="12" t="s">
        <v>0</v>
      </c>
      <c r="J213" s="12" t="s">
        <v>0</v>
      </c>
      <c r="K213" s="12" t="s">
        <v>0</v>
      </c>
      <c r="L213" s="13" t="s">
        <v>2</v>
      </c>
      <c r="M213" s="13" t="s">
        <v>2</v>
      </c>
      <c r="N213" s="13" t="s">
        <v>2</v>
      </c>
      <c r="O213" s="13" t="s">
        <v>2</v>
      </c>
      <c r="P213" s="13" t="s">
        <v>2</v>
      </c>
      <c r="Q213" s="13" t="s">
        <v>2</v>
      </c>
      <c r="R213" s="13" t="s">
        <v>0</v>
      </c>
      <c r="S213" s="13" t="s">
        <v>0</v>
      </c>
      <c r="T213" s="13" t="s">
        <v>0</v>
      </c>
      <c r="U213" s="13" t="s">
        <v>1</v>
      </c>
      <c r="V213" s="13" t="s">
        <v>1</v>
      </c>
      <c r="W213" s="13" t="s">
        <v>1</v>
      </c>
      <c r="X213" s="13" t="s">
        <v>2</v>
      </c>
      <c r="Y213" s="13" t="s">
        <v>31</v>
      </c>
      <c r="Z213" s="13" t="s">
        <v>31</v>
      </c>
      <c r="AA213" s="12" t="s">
        <v>0</v>
      </c>
      <c r="AB213" s="12" t="s">
        <v>0</v>
      </c>
      <c r="AC213" s="12" t="s">
        <v>0</v>
      </c>
      <c r="AD213" s="13" t="s">
        <v>2</v>
      </c>
      <c r="AE213" s="13" t="s">
        <v>2</v>
      </c>
      <c r="AF213" s="13" t="s">
        <v>2</v>
      </c>
      <c r="AG213" s="13" t="s">
        <v>2</v>
      </c>
      <c r="AH213" s="13" t="s">
        <v>2</v>
      </c>
      <c r="AI213" s="10">
        <f t="shared" si="74"/>
        <v>2</v>
      </c>
      <c r="AJ213" s="9">
        <f t="shared" si="75"/>
        <v>19</v>
      </c>
    </row>
    <row r="214" spans="1:36" ht="15.75" thickBot="1" x14ac:dyDescent="0.3">
      <c r="A214" s="8" t="s">
        <v>39</v>
      </c>
      <c r="B214" s="7">
        <f>AJ187</f>
        <v>17</v>
      </c>
      <c r="C214" s="268"/>
      <c r="D214" s="12" t="s">
        <v>2</v>
      </c>
      <c r="E214" s="12" t="s">
        <v>2</v>
      </c>
      <c r="F214" s="12" t="s">
        <v>2</v>
      </c>
      <c r="G214" s="12" t="s">
        <v>2</v>
      </c>
      <c r="H214" s="12" t="s">
        <v>2</v>
      </c>
      <c r="I214" s="12" t="s">
        <v>0</v>
      </c>
      <c r="J214" s="12" t="s">
        <v>0</v>
      </c>
      <c r="K214" s="12" t="s">
        <v>0</v>
      </c>
      <c r="L214" s="13" t="s">
        <v>1</v>
      </c>
      <c r="M214" s="13" t="s">
        <v>1</v>
      </c>
      <c r="N214" s="13" t="s">
        <v>1</v>
      </c>
      <c r="O214" s="13" t="s">
        <v>1</v>
      </c>
      <c r="P214" s="13" t="s">
        <v>1</v>
      </c>
      <c r="Q214" s="13" t="s">
        <v>1</v>
      </c>
      <c r="R214" s="12" t="s">
        <v>0</v>
      </c>
      <c r="S214" s="12" t="s">
        <v>0</v>
      </c>
      <c r="T214" s="12" t="s">
        <v>0</v>
      </c>
      <c r="U214" s="13" t="s">
        <v>2</v>
      </c>
      <c r="V214" s="13" t="s">
        <v>2</v>
      </c>
      <c r="W214" s="13" t="s">
        <v>2</v>
      </c>
      <c r="X214" s="13" t="s">
        <v>2</v>
      </c>
      <c r="Y214" s="13" t="s">
        <v>2</v>
      </c>
      <c r="Z214" s="13" t="s">
        <v>2</v>
      </c>
      <c r="AA214" s="12" t="s">
        <v>0</v>
      </c>
      <c r="AB214" s="12" t="s">
        <v>0</v>
      </c>
      <c r="AC214" s="12" t="s">
        <v>0</v>
      </c>
      <c r="AD214" s="13" t="s">
        <v>1</v>
      </c>
      <c r="AE214" s="13" t="s">
        <v>1</v>
      </c>
      <c r="AF214" s="13" t="s">
        <v>1</v>
      </c>
      <c r="AG214" s="13" t="s">
        <v>1</v>
      </c>
      <c r="AH214" s="13" t="s">
        <v>31</v>
      </c>
      <c r="AI214" s="10">
        <f t="shared" si="74"/>
        <v>1</v>
      </c>
      <c r="AJ214" s="9">
        <f t="shared" si="75"/>
        <v>16</v>
      </c>
    </row>
    <row r="215" spans="1:36" ht="21.75" thickBot="1" x14ac:dyDescent="0.3">
      <c r="A215" s="91"/>
      <c r="B215" s="91"/>
      <c r="C215" s="93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1"/>
      <c r="AJ215" s="91"/>
    </row>
    <row r="216" spans="1:36" ht="15" customHeight="1" x14ac:dyDescent="0.25">
      <c r="A216" s="240" t="s">
        <v>30</v>
      </c>
      <c r="B216" s="254" t="s">
        <v>29</v>
      </c>
      <c r="C216" s="264">
        <v>46023</v>
      </c>
      <c r="D216" s="90" t="s">
        <v>22</v>
      </c>
      <c r="E216" s="71" t="s">
        <v>28</v>
      </c>
      <c r="F216" s="71" t="s">
        <v>27</v>
      </c>
      <c r="G216" s="71" t="s">
        <v>26</v>
      </c>
      <c r="H216" s="71" t="s">
        <v>25</v>
      </c>
      <c r="I216" s="71" t="s">
        <v>24</v>
      </c>
      <c r="J216" s="71" t="s">
        <v>23</v>
      </c>
      <c r="K216" s="71" t="s">
        <v>22</v>
      </c>
      <c r="L216" s="71" t="s">
        <v>28</v>
      </c>
      <c r="M216" s="71" t="s">
        <v>27</v>
      </c>
      <c r="N216" s="71" t="s">
        <v>26</v>
      </c>
      <c r="O216" s="71" t="s">
        <v>25</v>
      </c>
      <c r="P216" s="71" t="s">
        <v>24</v>
      </c>
      <c r="Q216" s="71" t="s">
        <v>23</v>
      </c>
      <c r="R216" s="71" t="s">
        <v>22</v>
      </c>
      <c r="S216" s="71" t="s">
        <v>28</v>
      </c>
      <c r="T216" s="71" t="s">
        <v>27</v>
      </c>
      <c r="U216" s="71" t="s">
        <v>26</v>
      </c>
      <c r="V216" s="71" t="s">
        <v>25</v>
      </c>
      <c r="W216" s="71" t="s">
        <v>24</v>
      </c>
      <c r="X216" s="71" t="s">
        <v>23</v>
      </c>
      <c r="Y216" s="71" t="s">
        <v>22</v>
      </c>
      <c r="Z216" s="71" t="s">
        <v>28</v>
      </c>
      <c r="AA216" s="71" t="s">
        <v>27</v>
      </c>
      <c r="AB216" s="71" t="s">
        <v>26</v>
      </c>
      <c r="AC216" s="71" t="s">
        <v>25</v>
      </c>
      <c r="AD216" s="71" t="s">
        <v>24</v>
      </c>
      <c r="AE216" s="71" t="s">
        <v>23</v>
      </c>
      <c r="AF216" s="71" t="s">
        <v>22</v>
      </c>
      <c r="AG216" s="71" t="s">
        <v>28</v>
      </c>
      <c r="AH216" s="69" t="s">
        <v>27</v>
      </c>
      <c r="AI216" s="248" t="s">
        <v>21</v>
      </c>
      <c r="AJ216" s="250" t="s">
        <v>20</v>
      </c>
    </row>
    <row r="217" spans="1:36" ht="15.75" thickBot="1" x14ac:dyDescent="0.3">
      <c r="A217" s="241"/>
      <c r="B217" s="255"/>
      <c r="C217" s="265"/>
      <c r="D217" s="89">
        <v>1</v>
      </c>
      <c r="E217" s="67">
        <v>2</v>
      </c>
      <c r="F217" s="67">
        <v>3</v>
      </c>
      <c r="G217" s="67">
        <v>4</v>
      </c>
      <c r="H217" s="67">
        <v>5</v>
      </c>
      <c r="I217" s="67">
        <v>6</v>
      </c>
      <c r="J217" s="67">
        <v>7</v>
      </c>
      <c r="K217" s="67">
        <v>8</v>
      </c>
      <c r="L217" s="67">
        <v>9</v>
      </c>
      <c r="M217" s="67">
        <v>10</v>
      </c>
      <c r="N217" s="67">
        <v>11</v>
      </c>
      <c r="O217" s="67">
        <v>12</v>
      </c>
      <c r="P217" s="67">
        <v>13</v>
      </c>
      <c r="Q217" s="67">
        <v>14</v>
      </c>
      <c r="R217" s="67">
        <v>15</v>
      </c>
      <c r="S217" s="67">
        <v>16</v>
      </c>
      <c r="T217" s="67">
        <v>17</v>
      </c>
      <c r="U217" s="67">
        <v>18</v>
      </c>
      <c r="V217" s="67">
        <v>19</v>
      </c>
      <c r="W217" s="67">
        <v>20</v>
      </c>
      <c r="X217" s="67">
        <v>21</v>
      </c>
      <c r="Y217" s="67">
        <v>22</v>
      </c>
      <c r="Z217" s="67">
        <v>23</v>
      </c>
      <c r="AA217" s="67">
        <v>24</v>
      </c>
      <c r="AB217" s="67">
        <v>25</v>
      </c>
      <c r="AC217" s="67">
        <v>26</v>
      </c>
      <c r="AD217" s="67">
        <v>27</v>
      </c>
      <c r="AE217" s="67">
        <v>28</v>
      </c>
      <c r="AF217" s="67">
        <v>29</v>
      </c>
      <c r="AG217" s="67">
        <v>30</v>
      </c>
      <c r="AH217" s="67">
        <v>31</v>
      </c>
      <c r="AI217" s="249"/>
      <c r="AJ217" s="251"/>
    </row>
    <row r="218" spans="1:36" x14ac:dyDescent="0.25">
      <c r="A218" s="64" t="s">
        <v>19</v>
      </c>
      <c r="B218" s="205">
        <f t="shared" ref="B218:B234" si="76">AJ192</f>
        <v>8</v>
      </c>
      <c r="C218" s="265"/>
      <c r="D218" s="44" t="s">
        <v>31</v>
      </c>
      <c r="E218" s="42" t="s">
        <v>31</v>
      </c>
      <c r="F218" s="43" t="s">
        <v>31</v>
      </c>
      <c r="G218" s="43" t="s">
        <v>31</v>
      </c>
      <c r="H218" s="42" t="s">
        <v>2</v>
      </c>
      <c r="I218" s="42" t="s">
        <v>2</v>
      </c>
      <c r="J218" s="42" t="s">
        <v>2</v>
      </c>
      <c r="K218" s="42" t="s">
        <v>0</v>
      </c>
      <c r="L218" s="42" t="s">
        <v>0</v>
      </c>
      <c r="M218" s="43" t="s">
        <v>2</v>
      </c>
      <c r="N218" s="43" t="s">
        <v>2</v>
      </c>
      <c r="O218" s="42" t="s">
        <v>2</v>
      </c>
      <c r="P218" s="42" t="s">
        <v>2</v>
      </c>
      <c r="Q218" s="42" t="s">
        <v>2</v>
      </c>
      <c r="R218" s="42" t="s">
        <v>0</v>
      </c>
      <c r="S218" s="42" t="s">
        <v>0</v>
      </c>
      <c r="T218" s="43" t="s">
        <v>2</v>
      </c>
      <c r="U218" s="43" t="s">
        <v>2</v>
      </c>
      <c r="V218" s="42" t="s">
        <v>2</v>
      </c>
      <c r="W218" s="42" t="s">
        <v>2</v>
      </c>
      <c r="X218" s="42" t="s">
        <v>2</v>
      </c>
      <c r="Y218" s="42" t="s">
        <v>0</v>
      </c>
      <c r="Z218" s="42" t="s">
        <v>0</v>
      </c>
      <c r="AA218" s="43" t="s">
        <v>2</v>
      </c>
      <c r="AB218" s="43" t="s">
        <v>31</v>
      </c>
      <c r="AC218" s="42" t="s">
        <v>2</v>
      </c>
      <c r="AD218" s="42" t="s">
        <v>2</v>
      </c>
      <c r="AE218" s="42" t="s">
        <v>2</v>
      </c>
      <c r="AF218" s="42" t="s">
        <v>0</v>
      </c>
      <c r="AG218" s="42" t="s">
        <v>0</v>
      </c>
      <c r="AH218" s="53" t="s">
        <v>2</v>
      </c>
      <c r="AI218" s="61">
        <f t="shared" ref="AI218:AI234" si="77">COUNTIF(D218:AH218,"V")</f>
        <v>5</v>
      </c>
      <c r="AJ218" s="60">
        <f t="shared" ref="AJ218:AJ234" si="78">B218-AI218</f>
        <v>3</v>
      </c>
    </row>
    <row r="219" spans="1:36" ht="15.75" thickBot="1" x14ac:dyDescent="0.3">
      <c r="A219" s="59" t="s">
        <v>16</v>
      </c>
      <c r="B219" s="207">
        <f t="shared" si="76"/>
        <v>2</v>
      </c>
      <c r="C219" s="265"/>
      <c r="D219" s="110" t="s">
        <v>0</v>
      </c>
      <c r="E219" s="28" t="s">
        <v>0</v>
      </c>
      <c r="F219" s="30" t="s">
        <v>2</v>
      </c>
      <c r="G219" s="30" t="s">
        <v>2</v>
      </c>
      <c r="H219" s="30" t="s">
        <v>2</v>
      </c>
      <c r="I219" s="30" t="s">
        <v>2</v>
      </c>
      <c r="J219" s="30" t="s">
        <v>2</v>
      </c>
      <c r="K219" s="28" t="s">
        <v>0</v>
      </c>
      <c r="L219" s="28" t="s">
        <v>0</v>
      </c>
      <c r="M219" s="30" t="s">
        <v>2</v>
      </c>
      <c r="N219" s="30" t="s">
        <v>2</v>
      </c>
      <c r="O219" s="30" t="s">
        <v>2</v>
      </c>
      <c r="P219" s="30" t="s">
        <v>2</v>
      </c>
      <c r="Q219" s="30" t="s">
        <v>2</v>
      </c>
      <c r="R219" s="28" t="s">
        <v>0</v>
      </c>
      <c r="S219" s="28" t="s">
        <v>0</v>
      </c>
      <c r="T219" s="30" t="s">
        <v>2</v>
      </c>
      <c r="U219" s="30" t="s">
        <v>2</v>
      </c>
      <c r="V219" s="30" t="s">
        <v>2</v>
      </c>
      <c r="W219" s="30" t="s">
        <v>2</v>
      </c>
      <c r="X219" s="30" t="s">
        <v>2</v>
      </c>
      <c r="Y219" s="28" t="s">
        <v>0</v>
      </c>
      <c r="Z219" s="28" t="s">
        <v>0</v>
      </c>
      <c r="AA219" s="30" t="s">
        <v>2</v>
      </c>
      <c r="AB219" s="30" t="s">
        <v>2</v>
      </c>
      <c r="AC219" s="30" t="s">
        <v>2</v>
      </c>
      <c r="AD219" s="30" t="s">
        <v>2</v>
      </c>
      <c r="AE219" s="30" t="s">
        <v>2</v>
      </c>
      <c r="AF219" s="28" t="s">
        <v>0</v>
      </c>
      <c r="AG219" s="28" t="s">
        <v>0</v>
      </c>
      <c r="AH219" s="124" t="s">
        <v>2</v>
      </c>
      <c r="AI219" s="10">
        <f t="shared" ref="AI219:AI223" si="79">COUNTIF(D219:AH219,"V")</f>
        <v>0</v>
      </c>
      <c r="AJ219" s="9">
        <f t="shared" ref="AJ219:AJ223" si="80">B219-AI219</f>
        <v>2</v>
      </c>
    </row>
    <row r="220" spans="1:36" ht="15.75" thickBot="1" x14ac:dyDescent="0.3">
      <c r="A220" s="59" t="s">
        <v>36</v>
      </c>
      <c r="B220" s="207">
        <f t="shared" si="76"/>
        <v>25</v>
      </c>
      <c r="C220" s="265"/>
      <c r="D220" s="110" t="s">
        <v>0</v>
      </c>
      <c r="E220" s="28" t="s">
        <v>0</v>
      </c>
      <c r="F220" s="30" t="s">
        <v>31</v>
      </c>
      <c r="G220" s="30" t="s">
        <v>31</v>
      </c>
      <c r="H220" s="30" t="s">
        <v>31</v>
      </c>
      <c r="I220" s="30" t="s">
        <v>31</v>
      </c>
      <c r="J220" s="30" t="s">
        <v>31</v>
      </c>
      <c r="K220" s="30" t="s">
        <v>0</v>
      </c>
      <c r="L220" s="30" t="s">
        <v>0</v>
      </c>
      <c r="M220" s="30" t="s">
        <v>31</v>
      </c>
      <c r="N220" s="30" t="s">
        <v>31</v>
      </c>
      <c r="O220" s="30" t="s">
        <v>31</v>
      </c>
      <c r="P220" s="30" t="s">
        <v>31</v>
      </c>
      <c r="Q220" s="30" t="s">
        <v>31</v>
      </c>
      <c r="R220" s="28" t="s">
        <v>0</v>
      </c>
      <c r="S220" s="28" t="s">
        <v>0</v>
      </c>
      <c r="T220" s="30" t="s">
        <v>2</v>
      </c>
      <c r="U220" s="30" t="s">
        <v>2</v>
      </c>
      <c r="V220" s="30" t="s">
        <v>2</v>
      </c>
      <c r="W220" s="30" t="s">
        <v>2</v>
      </c>
      <c r="X220" s="30" t="s">
        <v>2</v>
      </c>
      <c r="Y220" s="28" t="s">
        <v>0</v>
      </c>
      <c r="Z220" s="28" t="s">
        <v>0</v>
      </c>
      <c r="AA220" s="30" t="s">
        <v>2</v>
      </c>
      <c r="AB220" s="30" t="s">
        <v>2</v>
      </c>
      <c r="AC220" s="30" t="s">
        <v>2</v>
      </c>
      <c r="AD220" s="30" t="s">
        <v>2</v>
      </c>
      <c r="AE220" s="30" t="s">
        <v>2</v>
      </c>
      <c r="AF220" s="28" t="s">
        <v>0</v>
      </c>
      <c r="AG220" s="28" t="s">
        <v>0</v>
      </c>
      <c r="AH220" s="124" t="s">
        <v>2</v>
      </c>
      <c r="AI220" s="10">
        <f t="shared" si="79"/>
        <v>10</v>
      </c>
      <c r="AJ220" s="9">
        <f t="shared" si="80"/>
        <v>15</v>
      </c>
    </row>
    <row r="221" spans="1:36" x14ac:dyDescent="0.25">
      <c r="A221" s="59" t="s">
        <v>17</v>
      </c>
      <c r="B221" s="207">
        <f t="shared" si="76"/>
        <v>12</v>
      </c>
      <c r="C221" s="265"/>
      <c r="D221" s="50" t="s">
        <v>2</v>
      </c>
      <c r="E221" s="35" t="s">
        <v>2</v>
      </c>
      <c r="F221" s="36" t="s">
        <v>0</v>
      </c>
      <c r="G221" s="36" t="s">
        <v>0</v>
      </c>
      <c r="H221" s="35" t="s">
        <v>2</v>
      </c>
      <c r="I221" s="35" t="s">
        <v>2</v>
      </c>
      <c r="J221" s="35" t="s">
        <v>2</v>
      </c>
      <c r="K221" s="35" t="s">
        <v>2</v>
      </c>
      <c r="L221" s="35" t="s">
        <v>2</v>
      </c>
      <c r="M221" s="36" t="s">
        <v>0</v>
      </c>
      <c r="N221" s="36" t="s">
        <v>0</v>
      </c>
      <c r="O221" s="35" t="s">
        <v>2</v>
      </c>
      <c r="P221" s="35" t="s">
        <v>2</v>
      </c>
      <c r="Q221" s="35" t="s">
        <v>2</v>
      </c>
      <c r="R221" s="35" t="s">
        <v>2</v>
      </c>
      <c r="S221" s="35" t="s">
        <v>2</v>
      </c>
      <c r="T221" s="35" t="s">
        <v>0</v>
      </c>
      <c r="U221" s="35" t="s">
        <v>0</v>
      </c>
      <c r="V221" s="35" t="s">
        <v>2</v>
      </c>
      <c r="W221" s="35" t="s">
        <v>2</v>
      </c>
      <c r="X221" s="35" t="s">
        <v>2</v>
      </c>
      <c r="Y221" s="35" t="s">
        <v>2</v>
      </c>
      <c r="Z221" s="35" t="s">
        <v>2</v>
      </c>
      <c r="AA221" s="36" t="s">
        <v>0</v>
      </c>
      <c r="AB221" s="36" t="s">
        <v>0</v>
      </c>
      <c r="AC221" s="35" t="s">
        <v>2</v>
      </c>
      <c r="AD221" s="35" t="s">
        <v>2</v>
      </c>
      <c r="AE221" s="35" t="s">
        <v>2</v>
      </c>
      <c r="AF221" s="35" t="s">
        <v>2</v>
      </c>
      <c r="AG221" s="35" t="s">
        <v>2</v>
      </c>
      <c r="AH221" s="224" t="s">
        <v>0</v>
      </c>
      <c r="AI221" s="10">
        <f t="shared" si="79"/>
        <v>0</v>
      </c>
      <c r="AJ221" s="9">
        <f t="shared" si="80"/>
        <v>12</v>
      </c>
    </row>
    <row r="222" spans="1:36" x14ac:dyDescent="0.25">
      <c r="A222" s="59" t="s">
        <v>18</v>
      </c>
      <c r="B222" s="207">
        <f t="shared" si="76"/>
        <v>5</v>
      </c>
      <c r="C222" s="265"/>
      <c r="D222" s="50" t="s">
        <v>2</v>
      </c>
      <c r="E222" s="35" t="s">
        <v>2</v>
      </c>
      <c r="F222" s="36" t="s">
        <v>0</v>
      </c>
      <c r="G222" s="36" t="s">
        <v>0</v>
      </c>
      <c r="H222" s="35" t="s">
        <v>2</v>
      </c>
      <c r="I222" s="35" t="s">
        <v>2</v>
      </c>
      <c r="J222" s="35" t="s">
        <v>2</v>
      </c>
      <c r="K222" s="35" t="s">
        <v>2</v>
      </c>
      <c r="L222" s="35" t="s">
        <v>2</v>
      </c>
      <c r="M222" s="36" t="s">
        <v>0</v>
      </c>
      <c r="N222" s="36" t="s">
        <v>0</v>
      </c>
      <c r="O222" s="35" t="s">
        <v>2</v>
      </c>
      <c r="P222" s="35" t="s">
        <v>2</v>
      </c>
      <c r="Q222" s="35" t="s">
        <v>2</v>
      </c>
      <c r="R222" s="35" t="s">
        <v>2</v>
      </c>
      <c r="S222" s="35" t="s">
        <v>2</v>
      </c>
      <c r="T222" s="36" t="s">
        <v>0</v>
      </c>
      <c r="U222" s="36" t="s">
        <v>0</v>
      </c>
      <c r="V222" s="35" t="s">
        <v>2</v>
      </c>
      <c r="W222" s="35" t="s">
        <v>2</v>
      </c>
      <c r="X222" s="35" t="s">
        <v>2</v>
      </c>
      <c r="Y222" s="35" t="s">
        <v>2</v>
      </c>
      <c r="Z222" s="35" t="s">
        <v>2</v>
      </c>
      <c r="AA222" s="36" t="s">
        <v>0</v>
      </c>
      <c r="AB222" s="36" t="s">
        <v>0</v>
      </c>
      <c r="AC222" s="35" t="s">
        <v>2</v>
      </c>
      <c r="AD222" s="35" t="s">
        <v>2</v>
      </c>
      <c r="AE222" s="35" t="s">
        <v>2</v>
      </c>
      <c r="AF222" s="35" t="s">
        <v>2</v>
      </c>
      <c r="AG222" s="35" t="s">
        <v>2</v>
      </c>
      <c r="AH222" s="224" t="s">
        <v>0</v>
      </c>
      <c r="AI222" s="10">
        <f t="shared" si="79"/>
        <v>0</v>
      </c>
      <c r="AJ222" s="9">
        <f t="shared" si="80"/>
        <v>5</v>
      </c>
    </row>
    <row r="223" spans="1:36" ht="15.75" thickBot="1" x14ac:dyDescent="0.3">
      <c r="A223" s="164" t="s">
        <v>37</v>
      </c>
      <c r="B223" s="208">
        <f t="shared" si="76"/>
        <v>9</v>
      </c>
      <c r="C223" s="265"/>
      <c r="D223" s="119" t="s">
        <v>2</v>
      </c>
      <c r="E223" s="117" t="s">
        <v>2</v>
      </c>
      <c r="F223" s="118" t="s">
        <v>0</v>
      </c>
      <c r="G223" s="118" t="s">
        <v>0</v>
      </c>
      <c r="H223" s="117" t="s">
        <v>2</v>
      </c>
      <c r="I223" s="117" t="s">
        <v>2</v>
      </c>
      <c r="J223" s="117" t="s">
        <v>2</v>
      </c>
      <c r="K223" s="117" t="s">
        <v>2</v>
      </c>
      <c r="L223" s="117" t="s">
        <v>2</v>
      </c>
      <c r="M223" s="118" t="s">
        <v>0</v>
      </c>
      <c r="N223" s="118" t="s">
        <v>0</v>
      </c>
      <c r="O223" s="117" t="s">
        <v>2</v>
      </c>
      <c r="P223" s="117" t="s">
        <v>2</v>
      </c>
      <c r="Q223" s="117" t="s">
        <v>2</v>
      </c>
      <c r="R223" s="117" t="s">
        <v>2</v>
      </c>
      <c r="S223" s="117" t="s">
        <v>2</v>
      </c>
      <c r="T223" s="118" t="s">
        <v>0</v>
      </c>
      <c r="U223" s="118" t="s">
        <v>0</v>
      </c>
      <c r="V223" s="117" t="s">
        <v>2</v>
      </c>
      <c r="W223" s="117" t="s">
        <v>2</v>
      </c>
      <c r="X223" s="117" t="s">
        <v>2</v>
      </c>
      <c r="Y223" s="117" t="s">
        <v>2</v>
      </c>
      <c r="Z223" s="117" t="s">
        <v>2</v>
      </c>
      <c r="AA223" s="118" t="s">
        <v>0</v>
      </c>
      <c r="AB223" s="118" t="s">
        <v>0</v>
      </c>
      <c r="AC223" s="117" t="s">
        <v>2</v>
      </c>
      <c r="AD223" s="117" t="s">
        <v>2</v>
      </c>
      <c r="AE223" s="117" t="s">
        <v>2</v>
      </c>
      <c r="AF223" s="117" t="s">
        <v>2</v>
      </c>
      <c r="AG223" s="117" t="s">
        <v>2</v>
      </c>
      <c r="AH223" s="225" t="s">
        <v>0</v>
      </c>
      <c r="AI223" s="10">
        <f t="shared" si="79"/>
        <v>0</v>
      </c>
      <c r="AJ223" s="9">
        <f t="shared" si="80"/>
        <v>9</v>
      </c>
    </row>
    <row r="224" spans="1:36" x14ac:dyDescent="0.25">
      <c r="A224" s="55" t="s">
        <v>15</v>
      </c>
      <c r="B224" s="209">
        <f t="shared" si="76"/>
        <v>1</v>
      </c>
      <c r="C224" s="265"/>
      <c r="D224" s="44" t="s">
        <v>31</v>
      </c>
      <c r="E224" s="43" t="s">
        <v>0</v>
      </c>
      <c r="F224" s="43" t="s">
        <v>0</v>
      </c>
      <c r="G224" s="42" t="s">
        <v>2</v>
      </c>
      <c r="H224" s="42" t="s">
        <v>2</v>
      </c>
      <c r="I224" s="42" t="s">
        <v>2</v>
      </c>
      <c r="J224" s="42" t="s">
        <v>2</v>
      </c>
      <c r="K224" s="42" t="s">
        <v>2</v>
      </c>
      <c r="L224" s="43" t="s">
        <v>0</v>
      </c>
      <c r="M224" s="43" t="s">
        <v>0</v>
      </c>
      <c r="N224" s="42" t="s">
        <v>2</v>
      </c>
      <c r="O224" s="42" t="s">
        <v>2</v>
      </c>
      <c r="P224" s="42" t="s">
        <v>2</v>
      </c>
      <c r="Q224" s="42" t="s">
        <v>2</v>
      </c>
      <c r="R224" s="42" t="s">
        <v>2</v>
      </c>
      <c r="S224" s="43" t="s">
        <v>0</v>
      </c>
      <c r="T224" s="43" t="s">
        <v>0</v>
      </c>
      <c r="U224" s="42" t="s">
        <v>2</v>
      </c>
      <c r="V224" s="42" t="s">
        <v>2</v>
      </c>
      <c r="W224" s="42" t="s">
        <v>2</v>
      </c>
      <c r="X224" s="42" t="s">
        <v>2</v>
      </c>
      <c r="Y224" s="42" t="s">
        <v>2</v>
      </c>
      <c r="Z224" s="43" t="s">
        <v>0</v>
      </c>
      <c r="AA224" s="43" t="s">
        <v>0</v>
      </c>
      <c r="AB224" s="42" t="s">
        <v>2</v>
      </c>
      <c r="AC224" s="42" t="s">
        <v>2</v>
      </c>
      <c r="AD224" s="42" t="s">
        <v>2</v>
      </c>
      <c r="AE224" s="42" t="s">
        <v>2</v>
      </c>
      <c r="AF224" s="42" t="s">
        <v>2</v>
      </c>
      <c r="AG224" s="43" t="s">
        <v>0</v>
      </c>
      <c r="AH224" s="53" t="s">
        <v>0</v>
      </c>
      <c r="AI224" s="10">
        <f t="shared" si="77"/>
        <v>1</v>
      </c>
      <c r="AJ224" s="9">
        <f t="shared" si="78"/>
        <v>0</v>
      </c>
    </row>
    <row r="225" spans="1:36" ht="14.25" customHeight="1" x14ac:dyDescent="0.25">
      <c r="A225" s="52" t="s">
        <v>14</v>
      </c>
      <c r="B225" s="210">
        <f t="shared" si="76"/>
        <v>19</v>
      </c>
      <c r="C225" s="265"/>
      <c r="D225" s="50" t="s">
        <v>2</v>
      </c>
      <c r="E225" s="36" t="s">
        <v>0</v>
      </c>
      <c r="F225" s="36" t="s">
        <v>0</v>
      </c>
      <c r="G225" s="13" t="s">
        <v>31</v>
      </c>
      <c r="H225" s="13" t="s">
        <v>31</v>
      </c>
      <c r="I225" s="13" t="s">
        <v>31</v>
      </c>
      <c r="J225" s="13" t="s">
        <v>31</v>
      </c>
      <c r="K225" s="13" t="s">
        <v>31</v>
      </c>
      <c r="L225" s="36" t="s">
        <v>0</v>
      </c>
      <c r="M225" s="36" t="s">
        <v>0</v>
      </c>
      <c r="N225" s="13" t="s">
        <v>31</v>
      </c>
      <c r="O225" s="35" t="s">
        <v>2</v>
      </c>
      <c r="P225" s="35" t="s">
        <v>2</v>
      </c>
      <c r="Q225" s="35" t="s">
        <v>2</v>
      </c>
      <c r="R225" s="35" t="s">
        <v>2</v>
      </c>
      <c r="S225" s="36" t="s">
        <v>0</v>
      </c>
      <c r="T225" s="36" t="s">
        <v>0</v>
      </c>
      <c r="U225" s="35" t="s">
        <v>2</v>
      </c>
      <c r="V225" s="35" t="s">
        <v>2</v>
      </c>
      <c r="W225" s="35" t="s">
        <v>2</v>
      </c>
      <c r="X225" s="35" t="s">
        <v>2</v>
      </c>
      <c r="Y225" s="35" t="s">
        <v>2</v>
      </c>
      <c r="Z225" s="36" t="s">
        <v>0</v>
      </c>
      <c r="AA225" s="36" t="s">
        <v>0</v>
      </c>
      <c r="AB225" s="35" t="s">
        <v>2</v>
      </c>
      <c r="AC225" s="35" t="s">
        <v>2</v>
      </c>
      <c r="AD225" s="35" t="s">
        <v>2</v>
      </c>
      <c r="AE225" s="35" t="s">
        <v>2</v>
      </c>
      <c r="AF225" s="35" t="s">
        <v>2</v>
      </c>
      <c r="AG225" s="36" t="s">
        <v>0</v>
      </c>
      <c r="AH225" s="224" t="s">
        <v>0</v>
      </c>
      <c r="AI225" s="10">
        <f t="shared" si="77"/>
        <v>6</v>
      </c>
      <c r="AJ225" s="9">
        <f t="shared" si="78"/>
        <v>13</v>
      </c>
    </row>
    <row r="226" spans="1:36" x14ac:dyDescent="0.25">
      <c r="A226" s="52" t="s">
        <v>13</v>
      </c>
      <c r="B226" s="210">
        <f t="shared" si="76"/>
        <v>3</v>
      </c>
      <c r="C226" s="265"/>
      <c r="D226" s="50" t="s">
        <v>2</v>
      </c>
      <c r="E226" s="36" t="s">
        <v>0</v>
      </c>
      <c r="F226" s="36" t="s">
        <v>0</v>
      </c>
      <c r="G226" s="35" t="s">
        <v>2</v>
      </c>
      <c r="H226" s="35" t="s">
        <v>2</v>
      </c>
      <c r="I226" s="35" t="s">
        <v>2</v>
      </c>
      <c r="J226" s="35" t="s">
        <v>2</v>
      </c>
      <c r="K226" s="35" t="s">
        <v>2</v>
      </c>
      <c r="L226" s="36" t="s">
        <v>0</v>
      </c>
      <c r="M226" s="36" t="s">
        <v>0</v>
      </c>
      <c r="N226" s="35" t="s">
        <v>2</v>
      </c>
      <c r="O226" s="35" t="s">
        <v>2</v>
      </c>
      <c r="P226" s="35" t="s">
        <v>2</v>
      </c>
      <c r="Q226" s="35" t="s">
        <v>2</v>
      </c>
      <c r="R226" s="35" t="s">
        <v>2</v>
      </c>
      <c r="S226" s="36" t="s">
        <v>0</v>
      </c>
      <c r="T226" s="36" t="s">
        <v>0</v>
      </c>
      <c r="U226" s="35" t="s">
        <v>2</v>
      </c>
      <c r="V226" s="35" t="s">
        <v>2</v>
      </c>
      <c r="W226" s="35" t="s">
        <v>2</v>
      </c>
      <c r="X226" s="35" t="s">
        <v>2</v>
      </c>
      <c r="Y226" s="35" t="s">
        <v>2</v>
      </c>
      <c r="Z226" s="36" t="s">
        <v>0</v>
      </c>
      <c r="AA226" s="36" t="s">
        <v>0</v>
      </c>
      <c r="AB226" s="35" t="s">
        <v>2</v>
      </c>
      <c r="AC226" s="35" t="s">
        <v>2</v>
      </c>
      <c r="AD226" s="35" t="s">
        <v>2</v>
      </c>
      <c r="AE226" s="35" t="s">
        <v>2</v>
      </c>
      <c r="AF226" s="35" t="s">
        <v>2</v>
      </c>
      <c r="AG226" s="36" t="s">
        <v>0</v>
      </c>
      <c r="AH226" s="224" t="s">
        <v>0</v>
      </c>
      <c r="AI226" s="10">
        <f t="shared" si="77"/>
        <v>0</v>
      </c>
      <c r="AJ226" s="9">
        <f t="shared" si="78"/>
        <v>3</v>
      </c>
    </row>
    <row r="227" spans="1:36" ht="15.75" thickBot="1" x14ac:dyDescent="0.3">
      <c r="A227" s="49" t="s">
        <v>6</v>
      </c>
      <c r="B227" s="211">
        <f t="shared" si="76"/>
        <v>20</v>
      </c>
      <c r="C227" s="265"/>
      <c r="D227" s="6" t="s">
        <v>0</v>
      </c>
      <c r="E227" s="5" t="s">
        <v>0</v>
      </c>
      <c r="F227" s="5" t="s">
        <v>0</v>
      </c>
      <c r="G227" s="5" t="s">
        <v>2</v>
      </c>
      <c r="H227" s="5" t="s">
        <v>2</v>
      </c>
      <c r="I227" s="5" t="s">
        <v>2</v>
      </c>
      <c r="J227" s="5" t="s">
        <v>2</v>
      </c>
      <c r="K227" s="5" t="s">
        <v>2</v>
      </c>
      <c r="L227" s="5" t="s">
        <v>2</v>
      </c>
      <c r="M227" s="5" t="s">
        <v>0</v>
      </c>
      <c r="N227" s="5" t="s">
        <v>0</v>
      </c>
      <c r="O227" s="5" t="s">
        <v>0</v>
      </c>
      <c r="P227" s="5" t="s">
        <v>2</v>
      </c>
      <c r="Q227" s="5" t="s">
        <v>2</v>
      </c>
      <c r="R227" s="5" t="s">
        <v>2</v>
      </c>
      <c r="S227" s="5" t="s">
        <v>2</v>
      </c>
      <c r="T227" s="5" t="s">
        <v>2</v>
      </c>
      <c r="U227" s="5" t="s">
        <v>2</v>
      </c>
      <c r="V227" s="5" t="s">
        <v>0</v>
      </c>
      <c r="W227" s="5" t="s">
        <v>0</v>
      </c>
      <c r="X227" s="5" t="s">
        <v>0</v>
      </c>
      <c r="Y227" s="5" t="s">
        <v>2</v>
      </c>
      <c r="Z227" s="5" t="s">
        <v>31</v>
      </c>
      <c r="AA227" s="5" t="s">
        <v>2</v>
      </c>
      <c r="AB227" s="5" t="s">
        <v>2</v>
      </c>
      <c r="AC227" s="5" t="s">
        <v>2</v>
      </c>
      <c r="AD227" s="5" t="s">
        <v>2</v>
      </c>
      <c r="AE227" s="5" t="s">
        <v>0</v>
      </c>
      <c r="AF227" s="5" t="s">
        <v>0</v>
      </c>
      <c r="AG227" s="5" t="s">
        <v>0</v>
      </c>
      <c r="AH227" s="226" t="s">
        <v>2</v>
      </c>
      <c r="AI227" s="10">
        <f t="shared" ref="AI227" si="81">COUNTIF(D227:AH227,"V")</f>
        <v>1</v>
      </c>
      <c r="AJ227" s="9">
        <f t="shared" si="78"/>
        <v>19</v>
      </c>
    </row>
    <row r="228" spans="1:36" x14ac:dyDescent="0.25">
      <c r="A228" s="187" t="s">
        <v>11</v>
      </c>
      <c r="B228" s="218">
        <f t="shared" si="76"/>
        <v>17</v>
      </c>
      <c r="C228" s="265"/>
      <c r="D228" s="123" t="s">
        <v>0</v>
      </c>
      <c r="E228" s="121" t="s">
        <v>2</v>
      </c>
      <c r="F228" s="121" t="s">
        <v>2</v>
      </c>
      <c r="G228" s="121" t="s">
        <v>2</v>
      </c>
      <c r="H228" s="199" t="s">
        <v>1</v>
      </c>
      <c r="I228" s="199" t="s">
        <v>1</v>
      </c>
      <c r="J228" s="199" t="s">
        <v>1</v>
      </c>
      <c r="K228" s="122" t="s">
        <v>0</v>
      </c>
      <c r="L228" s="122" t="s">
        <v>0</v>
      </c>
      <c r="M228" s="122" t="s">
        <v>0</v>
      </c>
      <c r="N228" s="204" t="s">
        <v>31</v>
      </c>
      <c r="O228" s="204" t="s">
        <v>31</v>
      </c>
      <c r="P228" s="204" t="s">
        <v>31</v>
      </c>
      <c r="Q228" s="204" t="s">
        <v>31</v>
      </c>
      <c r="R228" s="199" t="s">
        <v>1</v>
      </c>
      <c r="S228" s="199" t="s">
        <v>1</v>
      </c>
      <c r="T228" s="122" t="s">
        <v>0</v>
      </c>
      <c r="U228" s="122" t="s">
        <v>0</v>
      </c>
      <c r="V228" s="122" t="s">
        <v>0</v>
      </c>
      <c r="W228" s="121" t="s">
        <v>2</v>
      </c>
      <c r="X228" s="121" t="s">
        <v>2</v>
      </c>
      <c r="Y228" s="121" t="s">
        <v>2</v>
      </c>
      <c r="Z228" s="199" t="s">
        <v>1</v>
      </c>
      <c r="AA228" s="199" t="s">
        <v>1</v>
      </c>
      <c r="AB228" s="199" t="s">
        <v>1</v>
      </c>
      <c r="AC228" s="122" t="s">
        <v>0</v>
      </c>
      <c r="AD228" s="122" t="s">
        <v>0</v>
      </c>
      <c r="AE228" s="122" t="s">
        <v>0</v>
      </c>
      <c r="AF228" s="121" t="s">
        <v>2</v>
      </c>
      <c r="AG228" s="121" t="s">
        <v>2</v>
      </c>
      <c r="AH228" s="216" t="s">
        <v>2</v>
      </c>
      <c r="AI228" s="10">
        <f t="shared" si="77"/>
        <v>4</v>
      </c>
      <c r="AJ228" s="9">
        <f t="shared" si="78"/>
        <v>13</v>
      </c>
    </row>
    <row r="229" spans="1:36" ht="15.75" thickBot="1" x14ac:dyDescent="0.3">
      <c r="A229" s="193" t="s">
        <v>10</v>
      </c>
      <c r="B229" s="213">
        <f t="shared" si="76"/>
        <v>6</v>
      </c>
      <c r="C229" s="265"/>
      <c r="D229" s="31" t="s">
        <v>31</v>
      </c>
      <c r="E229" s="28" t="s">
        <v>0</v>
      </c>
      <c r="F229" s="28" t="s">
        <v>0</v>
      </c>
      <c r="G229" s="28" t="s">
        <v>0</v>
      </c>
      <c r="H229" s="30" t="s">
        <v>2</v>
      </c>
      <c r="I229" s="30" t="s">
        <v>2</v>
      </c>
      <c r="J229" s="30" t="s">
        <v>2</v>
      </c>
      <c r="K229" s="29" t="s">
        <v>1</v>
      </c>
      <c r="L229" s="29" t="s">
        <v>1</v>
      </c>
      <c r="M229" s="29" t="s">
        <v>1</v>
      </c>
      <c r="N229" s="28" t="s">
        <v>0</v>
      </c>
      <c r="O229" s="28" t="s">
        <v>0</v>
      </c>
      <c r="P229" s="28" t="s">
        <v>0</v>
      </c>
      <c r="Q229" s="30" t="s">
        <v>2</v>
      </c>
      <c r="R229" s="30" t="s">
        <v>2</v>
      </c>
      <c r="S229" s="30" t="s">
        <v>31</v>
      </c>
      <c r="T229" s="29" t="s">
        <v>31</v>
      </c>
      <c r="U229" s="29" t="s">
        <v>1</v>
      </c>
      <c r="V229" s="29" t="s">
        <v>1</v>
      </c>
      <c r="W229" s="28" t="s">
        <v>0</v>
      </c>
      <c r="X229" s="28" t="s">
        <v>0</v>
      </c>
      <c r="Y229" s="28" t="s">
        <v>0</v>
      </c>
      <c r="Z229" s="30" t="s">
        <v>2</v>
      </c>
      <c r="AA229" s="30" t="s">
        <v>2</v>
      </c>
      <c r="AB229" s="30" t="s">
        <v>2</v>
      </c>
      <c r="AC229" s="29" t="s">
        <v>1</v>
      </c>
      <c r="AD229" s="29" t="s">
        <v>1</v>
      </c>
      <c r="AE229" s="29" t="s">
        <v>1</v>
      </c>
      <c r="AF229" s="28" t="s">
        <v>0</v>
      </c>
      <c r="AG229" s="28" t="s">
        <v>0</v>
      </c>
      <c r="AH229" s="27" t="s">
        <v>0</v>
      </c>
      <c r="AI229" s="10">
        <f t="shared" si="77"/>
        <v>3</v>
      </c>
      <c r="AJ229" s="9">
        <f t="shared" si="78"/>
        <v>3</v>
      </c>
    </row>
    <row r="230" spans="1:36" ht="15.75" thickBot="1" x14ac:dyDescent="0.3">
      <c r="A230" s="196" t="s">
        <v>7</v>
      </c>
      <c r="B230" s="221">
        <f t="shared" si="76"/>
        <v>31</v>
      </c>
      <c r="C230" s="265"/>
      <c r="D230" s="180" t="s">
        <v>0</v>
      </c>
      <c r="E230" s="176" t="s">
        <v>0</v>
      </c>
      <c r="F230" s="176" t="s">
        <v>31</v>
      </c>
      <c r="G230" s="176" t="s">
        <v>2</v>
      </c>
      <c r="H230" s="176" t="s">
        <v>2</v>
      </c>
      <c r="I230" s="176" t="s">
        <v>2</v>
      </c>
      <c r="J230" s="176" t="s">
        <v>2</v>
      </c>
      <c r="K230" s="192" t="s">
        <v>0</v>
      </c>
      <c r="L230" s="192" t="s">
        <v>0</v>
      </c>
      <c r="M230" s="176" t="s">
        <v>2</v>
      </c>
      <c r="N230" s="176" t="s">
        <v>2</v>
      </c>
      <c r="O230" s="176" t="s">
        <v>2</v>
      </c>
      <c r="P230" s="176" t="s">
        <v>2</v>
      </c>
      <c r="Q230" s="176" t="s">
        <v>2</v>
      </c>
      <c r="R230" s="192" t="s">
        <v>0</v>
      </c>
      <c r="S230" s="192" t="s">
        <v>0</v>
      </c>
      <c r="T230" s="176" t="s">
        <v>2</v>
      </c>
      <c r="U230" s="176" t="s">
        <v>2</v>
      </c>
      <c r="V230" s="176" t="s">
        <v>2</v>
      </c>
      <c r="W230" s="176" t="s">
        <v>2</v>
      </c>
      <c r="X230" s="176" t="s">
        <v>2</v>
      </c>
      <c r="Y230" s="192" t="s">
        <v>0</v>
      </c>
      <c r="Z230" s="192" t="s">
        <v>0</v>
      </c>
      <c r="AA230" s="176" t="s">
        <v>2</v>
      </c>
      <c r="AB230" s="176" t="s">
        <v>2</v>
      </c>
      <c r="AC230" s="176" t="s">
        <v>2</v>
      </c>
      <c r="AD230" s="176" t="s">
        <v>2</v>
      </c>
      <c r="AE230" s="176" t="s">
        <v>2</v>
      </c>
      <c r="AF230" s="192" t="s">
        <v>0</v>
      </c>
      <c r="AG230" s="192" t="s">
        <v>0</v>
      </c>
      <c r="AH230" s="227" t="s">
        <v>2</v>
      </c>
      <c r="AI230" s="10">
        <f t="shared" ref="AI230" si="82">COUNTIF(D230:AH230,"V")</f>
        <v>1</v>
      </c>
      <c r="AJ230" s="9">
        <f t="shared" si="78"/>
        <v>30</v>
      </c>
    </row>
    <row r="231" spans="1:36" x14ac:dyDescent="0.25">
      <c r="A231" s="26" t="s">
        <v>9</v>
      </c>
      <c r="B231" s="222">
        <f t="shared" si="76"/>
        <v>27</v>
      </c>
      <c r="C231" s="265"/>
      <c r="D231" s="80" t="s">
        <v>31</v>
      </c>
      <c r="E231" s="23" t="s">
        <v>31</v>
      </c>
      <c r="F231" s="23" t="s">
        <v>31</v>
      </c>
      <c r="G231" s="23" t="s">
        <v>31</v>
      </c>
      <c r="H231" s="23" t="s">
        <v>31</v>
      </c>
      <c r="I231" s="23" t="s">
        <v>31</v>
      </c>
      <c r="J231" s="23" t="s">
        <v>2</v>
      </c>
      <c r="K231" s="23" t="s">
        <v>2</v>
      </c>
      <c r="L231" s="23" t="s">
        <v>0</v>
      </c>
      <c r="M231" s="23" t="s">
        <v>0</v>
      </c>
      <c r="N231" s="23" t="s">
        <v>2</v>
      </c>
      <c r="O231" s="23" t="s">
        <v>2</v>
      </c>
      <c r="P231" s="23" t="s">
        <v>2</v>
      </c>
      <c r="Q231" s="23" t="s">
        <v>2</v>
      </c>
      <c r="R231" s="23" t="s">
        <v>2</v>
      </c>
      <c r="S231" s="23" t="s">
        <v>0</v>
      </c>
      <c r="T231" s="23" t="s">
        <v>0</v>
      </c>
      <c r="U231" s="23" t="s">
        <v>2</v>
      </c>
      <c r="V231" s="23" t="s">
        <v>2</v>
      </c>
      <c r="W231" s="23" t="s">
        <v>2</v>
      </c>
      <c r="X231" s="23" t="s">
        <v>2</v>
      </c>
      <c r="Y231" s="23" t="s">
        <v>2</v>
      </c>
      <c r="Z231" s="23" t="s">
        <v>0</v>
      </c>
      <c r="AA231" s="23" t="s">
        <v>0</v>
      </c>
      <c r="AB231" s="23" t="s">
        <v>2</v>
      </c>
      <c r="AC231" s="23" t="s">
        <v>2</v>
      </c>
      <c r="AD231" s="23" t="s">
        <v>2</v>
      </c>
      <c r="AE231" s="23" t="s">
        <v>2</v>
      </c>
      <c r="AF231" s="23" t="s">
        <v>2</v>
      </c>
      <c r="AG231" s="23" t="s">
        <v>0</v>
      </c>
      <c r="AH231" s="21" t="s">
        <v>0</v>
      </c>
      <c r="AI231" s="10">
        <f t="shared" si="77"/>
        <v>6</v>
      </c>
      <c r="AJ231" s="9">
        <f t="shared" si="78"/>
        <v>21</v>
      </c>
    </row>
    <row r="232" spans="1:36" ht="15.75" thickBot="1" x14ac:dyDescent="0.3">
      <c r="A232" s="8" t="s">
        <v>4</v>
      </c>
      <c r="B232" s="223">
        <f t="shared" si="76"/>
        <v>15</v>
      </c>
      <c r="C232" s="265"/>
      <c r="D232" s="108" t="s">
        <v>2</v>
      </c>
      <c r="E232" s="12" t="s">
        <v>2</v>
      </c>
      <c r="F232" s="12" t="s">
        <v>0</v>
      </c>
      <c r="G232" s="12" t="s">
        <v>0</v>
      </c>
      <c r="H232" s="12" t="s">
        <v>2</v>
      </c>
      <c r="I232" s="12" t="s">
        <v>2</v>
      </c>
      <c r="J232" s="13" t="s">
        <v>31</v>
      </c>
      <c r="K232" s="13" t="s">
        <v>31</v>
      </c>
      <c r="L232" s="13" t="s">
        <v>31</v>
      </c>
      <c r="M232" s="13" t="s">
        <v>0</v>
      </c>
      <c r="N232" s="13" t="s">
        <v>0</v>
      </c>
      <c r="O232" s="13" t="s">
        <v>2</v>
      </c>
      <c r="P232" s="13" t="s">
        <v>2</v>
      </c>
      <c r="Q232" s="13" t="s">
        <v>2</v>
      </c>
      <c r="R232" s="13" t="s">
        <v>2</v>
      </c>
      <c r="S232" s="13" t="s">
        <v>2</v>
      </c>
      <c r="T232" s="13" t="s">
        <v>0</v>
      </c>
      <c r="U232" s="13" t="s">
        <v>0</v>
      </c>
      <c r="V232" s="13" t="s">
        <v>2</v>
      </c>
      <c r="W232" s="13" t="s">
        <v>2</v>
      </c>
      <c r="X232" s="13" t="s">
        <v>2</v>
      </c>
      <c r="Y232" s="13" t="s">
        <v>2</v>
      </c>
      <c r="Z232" s="13" t="s">
        <v>2</v>
      </c>
      <c r="AA232" s="13" t="s">
        <v>0</v>
      </c>
      <c r="AB232" s="13" t="s">
        <v>0</v>
      </c>
      <c r="AC232" s="13" t="s">
        <v>2</v>
      </c>
      <c r="AD232" s="13" t="s">
        <v>2</v>
      </c>
      <c r="AE232" s="13" t="s">
        <v>2</v>
      </c>
      <c r="AF232" s="13" t="s">
        <v>2</v>
      </c>
      <c r="AG232" s="13" t="s">
        <v>2</v>
      </c>
      <c r="AH232" s="11" t="s">
        <v>0</v>
      </c>
      <c r="AI232" s="10">
        <f t="shared" ref="AI232" si="83">COUNTIF(D232:AH232,"V")</f>
        <v>3</v>
      </c>
      <c r="AJ232" s="9">
        <f t="shared" si="78"/>
        <v>12</v>
      </c>
    </row>
    <row r="233" spans="1:36" x14ac:dyDescent="0.25">
      <c r="A233" s="26" t="s">
        <v>8</v>
      </c>
      <c r="B233" s="222">
        <f t="shared" si="76"/>
        <v>20</v>
      </c>
      <c r="C233" s="265"/>
      <c r="D233" s="14" t="s">
        <v>31</v>
      </c>
      <c r="E233" s="13" t="s">
        <v>31</v>
      </c>
      <c r="F233" s="13" t="s">
        <v>31</v>
      </c>
      <c r="G233" s="13" t="s">
        <v>31</v>
      </c>
      <c r="H233" s="13" t="s">
        <v>0</v>
      </c>
      <c r="I233" s="13" t="s">
        <v>0</v>
      </c>
      <c r="J233" s="13" t="s">
        <v>0</v>
      </c>
      <c r="K233" s="13" t="s">
        <v>2</v>
      </c>
      <c r="L233" s="13" t="s">
        <v>2</v>
      </c>
      <c r="M233" s="13" t="s">
        <v>2</v>
      </c>
      <c r="N233" s="13" t="s">
        <v>2</v>
      </c>
      <c r="O233" s="13" t="s">
        <v>2</v>
      </c>
      <c r="P233" s="13" t="s">
        <v>2</v>
      </c>
      <c r="Q233" s="13" t="s">
        <v>0</v>
      </c>
      <c r="R233" s="13" t="s">
        <v>0</v>
      </c>
      <c r="S233" s="13" t="s">
        <v>0</v>
      </c>
      <c r="T233" s="12" t="s">
        <v>1</v>
      </c>
      <c r="U233" s="12" t="s">
        <v>1</v>
      </c>
      <c r="V233" s="12" t="s">
        <v>1</v>
      </c>
      <c r="W233" s="12" t="s">
        <v>1</v>
      </c>
      <c r="X233" s="12" t="s">
        <v>1</v>
      </c>
      <c r="Y233" s="12" t="s">
        <v>1</v>
      </c>
      <c r="Z233" s="13" t="s">
        <v>0</v>
      </c>
      <c r="AA233" s="13" t="s">
        <v>0</v>
      </c>
      <c r="AB233" s="13" t="s">
        <v>0</v>
      </c>
      <c r="AC233" s="13" t="s">
        <v>2</v>
      </c>
      <c r="AD233" s="13" t="s">
        <v>2</v>
      </c>
      <c r="AE233" s="13" t="s">
        <v>2</v>
      </c>
      <c r="AF233" s="13" t="s">
        <v>2</v>
      </c>
      <c r="AG233" s="13" t="s">
        <v>2</v>
      </c>
      <c r="AH233" s="19" t="s">
        <v>2</v>
      </c>
      <c r="AI233" s="10">
        <f t="shared" si="77"/>
        <v>4</v>
      </c>
      <c r="AJ233" s="9">
        <f t="shared" si="78"/>
        <v>16</v>
      </c>
    </row>
    <row r="234" spans="1:36" x14ac:dyDescent="0.25">
      <c r="A234" s="16" t="s">
        <v>33</v>
      </c>
      <c r="B234" s="214">
        <f t="shared" si="76"/>
        <v>27</v>
      </c>
      <c r="C234" s="265"/>
      <c r="D234" s="14" t="s">
        <v>2</v>
      </c>
      <c r="E234" s="13" t="s">
        <v>2</v>
      </c>
      <c r="F234" s="13" t="s">
        <v>2</v>
      </c>
      <c r="G234" s="13" t="s">
        <v>2</v>
      </c>
      <c r="H234" s="13" t="s">
        <v>0</v>
      </c>
      <c r="I234" s="13" t="s">
        <v>0</v>
      </c>
      <c r="J234" s="13" t="s">
        <v>0</v>
      </c>
      <c r="K234" s="17" t="s">
        <v>1</v>
      </c>
      <c r="L234" s="17" t="s">
        <v>1</v>
      </c>
      <c r="M234" s="17" t="s">
        <v>1</v>
      </c>
      <c r="N234" s="17" t="s">
        <v>1</v>
      </c>
      <c r="O234" s="17" t="s">
        <v>1</v>
      </c>
      <c r="P234" s="17" t="s">
        <v>1</v>
      </c>
      <c r="Q234" s="13" t="s">
        <v>0</v>
      </c>
      <c r="R234" s="13" t="s">
        <v>0</v>
      </c>
      <c r="S234" s="13" t="s">
        <v>0</v>
      </c>
      <c r="T234" s="13" t="s">
        <v>2</v>
      </c>
      <c r="U234" s="13" t="s">
        <v>31</v>
      </c>
      <c r="V234" s="13" t="s">
        <v>31</v>
      </c>
      <c r="W234" s="13" t="s">
        <v>31</v>
      </c>
      <c r="X234" s="13" t="s">
        <v>31</v>
      </c>
      <c r="Y234" s="13" t="s">
        <v>31</v>
      </c>
      <c r="Z234" s="13" t="s">
        <v>0</v>
      </c>
      <c r="AA234" s="13" t="s">
        <v>0</v>
      </c>
      <c r="AB234" s="13" t="s">
        <v>0</v>
      </c>
      <c r="AC234" s="17" t="s">
        <v>1</v>
      </c>
      <c r="AD234" s="17" t="s">
        <v>1</v>
      </c>
      <c r="AE234" s="17" t="s">
        <v>1</v>
      </c>
      <c r="AF234" s="17" t="s">
        <v>1</v>
      </c>
      <c r="AG234" s="17" t="s">
        <v>1</v>
      </c>
      <c r="AH234" s="20" t="s">
        <v>1</v>
      </c>
      <c r="AI234" s="10">
        <f t="shared" si="77"/>
        <v>5</v>
      </c>
      <c r="AJ234" s="9">
        <f t="shared" si="78"/>
        <v>22</v>
      </c>
    </row>
    <row r="235" spans="1:36" ht="15.75" thickBot="1" x14ac:dyDescent="0.3">
      <c r="A235" s="8" t="s">
        <v>40</v>
      </c>
      <c r="B235" s="223">
        <v>13</v>
      </c>
      <c r="C235" s="265"/>
      <c r="D235" s="108" t="s">
        <v>2</v>
      </c>
      <c r="E235" s="12" t="s">
        <v>2</v>
      </c>
      <c r="F235" s="12" t="s">
        <v>31</v>
      </c>
      <c r="G235" s="12" t="s">
        <v>2</v>
      </c>
      <c r="H235" s="13" t="s">
        <v>0</v>
      </c>
      <c r="I235" s="13" t="s">
        <v>0</v>
      </c>
      <c r="J235" s="13" t="s">
        <v>0</v>
      </c>
      <c r="K235" s="13" t="s">
        <v>1</v>
      </c>
      <c r="L235" s="13" t="s">
        <v>1</v>
      </c>
      <c r="M235" s="13" t="s">
        <v>0</v>
      </c>
      <c r="N235" s="13" t="s">
        <v>1</v>
      </c>
      <c r="O235" s="13" t="s">
        <v>1</v>
      </c>
      <c r="P235" s="13" t="s">
        <v>1</v>
      </c>
      <c r="Q235" s="13" t="s">
        <v>2</v>
      </c>
      <c r="R235" s="13" t="s">
        <v>2</v>
      </c>
      <c r="S235" s="13" t="s">
        <v>0</v>
      </c>
      <c r="T235" s="13" t="s">
        <v>0</v>
      </c>
      <c r="U235" s="13" t="s">
        <v>2</v>
      </c>
      <c r="V235" s="13" t="s">
        <v>2</v>
      </c>
      <c r="W235" s="13" t="s">
        <v>2</v>
      </c>
      <c r="X235" s="13" t="s">
        <v>2</v>
      </c>
      <c r="Y235" s="13" t="s">
        <v>2</v>
      </c>
      <c r="Z235" s="13" t="s">
        <v>0</v>
      </c>
      <c r="AA235" s="13" t="s">
        <v>0</v>
      </c>
      <c r="AB235" s="13" t="s">
        <v>0</v>
      </c>
      <c r="AC235" s="17" t="s">
        <v>1</v>
      </c>
      <c r="AD235" s="17" t="s">
        <v>1</v>
      </c>
      <c r="AE235" s="17" t="s">
        <v>1</v>
      </c>
      <c r="AF235" s="17" t="s">
        <v>31</v>
      </c>
      <c r="AG235" s="17" t="s">
        <v>31</v>
      </c>
      <c r="AH235" s="20" t="s">
        <v>31</v>
      </c>
      <c r="AI235" s="10">
        <f t="shared" ref="AI235:AI240" si="84">COUNTIF(D235:AH235,"V")</f>
        <v>4</v>
      </c>
      <c r="AJ235" s="9">
        <f t="shared" ref="AJ235:AJ240" si="85">B235-AI235</f>
        <v>9</v>
      </c>
    </row>
    <row r="236" spans="1:36" x14ac:dyDescent="0.25">
      <c r="A236" s="26" t="s">
        <v>5</v>
      </c>
      <c r="B236" s="222">
        <f>AJ211</f>
        <v>31</v>
      </c>
      <c r="C236" s="265"/>
      <c r="D236" s="108" t="s">
        <v>0</v>
      </c>
      <c r="E236" s="12" t="s">
        <v>31</v>
      </c>
      <c r="F236" s="12" t="s">
        <v>31</v>
      </c>
      <c r="G236" s="12" t="s">
        <v>31</v>
      </c>
      <c r="H236" s="12" t="s">
        <v>31</v>
      </c>
      <c r="I236" s="12" t="s">
        <v>31</v>
      </c>
      <c r="J236" s="12" t="s">
        <v>31</v>
      </c>
      <c r="K236" s="12" t="s">
        <v>31</v>
      </c>
      <c r="L236" s="12" t="s">
        <v>31</v>
      </c>
      <c r="M236" s="12" t="s">
        <v>31</v>
      </c>
      <c r="N236" s="12" t="s">
        <v>31</v>
      </c>
      <c r="O236" s="12" t="s">
        <v>31</v>
      </c>
      <c r="P236" s="12" t="s">
        <v>31</v>
      </c>
      <c r="Q236" s="12" t="s">
        <v>31</v>
      </c>
      <c r="R236" s="12" t="s">
        <v>31</v>
      </c>
      <c r="S236" s="12" t="s">
        <v>31</v>
      </c>
      <c r="T236" s="12" t="s">
        <v>31</v>
      </c>
      <c r="U236" s="12" t="s">
        <v>31</v>
      </c>
      <c r="V236" s="12" t="s">
        <v>31</v>
      </c>
      <c r="W236" s="12" t="s">
        <v>2</v>
      </c>
      <c r="X236" s="12" t="s">
        <v>2</v>
      </c>
      <c r="Y236" s="12" t="s">
        <v>2</v>
      </c>
      <c r="Z236" s="12" t="s">
        <v>2</v>
      </c>
      <c r="AA236" s="12" t="s">
        <v>2</v>
      </c>
      <c r="AB236" s="12" t="s">
        <v>2</v>
      </c>
      <c r="AC236" s="13" t="s">
        <v>0</v>
      </c>
      <c r="AD236" s="13" t="s">
        <v>0</v>
      </c>
      <c r="AE236" s="13" t="s">
        <v>0</v>
      </c>
      <c r="AF236" s="13" t="s">
        <v>1</v>
      </c>
      <c r="AG236" s="13" t="s">
        <v>1</v>
      </c>
      <c r="AH236" s="19" t="s">
        <v>1</v>
      </c>
      <c r="AI236" s="10">
        <f t="shared" si="84"/>
        <v>18</v>
      </c>
      <c r="AJ236" s="9">
        <f t="shared" si="85"/>
        <v>13</v>
      </c>
    </row>
    <row r="237" spans="1:36" ht="15.75" thickBot="1" x14ac:dyDescent="0.3">
      <c r="A237" s="8" t="s">
        <v>43</v>
      </c>
      <c r="B237" s="223"/>
      <c r="C237" s="265"/>
      <c r="D237" s="174" t="s">
        <v>0</v>
      </c>
      <c r="E237" s="175" t="s">
        <v>1</v>
      </c>
      <c r="F237" s="175" t="s">
        <v>1</v>
      </c>
      <c r="G237" s="175" t="s">
        <v>1</v>
      </c>
      <c r="H237" s="175" t="s">
        <v>1</v>
      </c>
      <c r="I237" s="175" t="s">
        <v>1</v>
      </c>
      <c r="J237" s="175" t="s">
        <v>1</v>
      </c>
      <c r="K237" s="176" t="s">
        <v>0</v>
      </c>
      <c r="L237" s="176" t="s">
        <v>0</v>
      </c>
      <c r="M237" s="176" t="s">
        <v>0</v>
      </c>
      <c r="N237" s="176" t="s">
        <v>2</v>
      </c>
      <c r="O237" s="176" t="s">
        <v>2</v>
      </c>
      <c r="P237" s="176" t="s">
        <v>2</v>
      </c>
      <c r="Q237" s="176" t="s">
        <v>2</v>
      </c>
      <c r="R237" s="176" t="s">
        <v>2</v>
      </c>
      <c r="S237" s="176" t="s">
        <v>2</v>
      </c>
      <c r="T237" s="176" t="s">
        <v>0</v>
      </c>
      <c r="U237" s="176" t="s">
        <v>0</v>
      </c>
      <c r="V237" s="176" t="s">
        <v>0</v>
      </c>
      <c r="W237" s="175" t="s">
        <v>1</v>
      </c>
      <c r="X237" s="175" t="s">
        <v>1</v>
      </c>
      <c r="Y237" s="175" t="s">
        <v>1</v>
      </c>
      <c r="Z237" s="175" t="s">
        <v>1</v>
      </c>
      <c r="AA237" s="175" t="s">
        <v>1</v>
      </c>
      <c r="AB237" s="175" t="s">
        <v>1</v>
      </c>
      <c r="AC237" s="176" t="s">
        <v>0</v>
      </c>
      <c r="AD237" s="176" t="s">
        <v>0</v>
      </c>
      <c r="AE237" s="176" t="s">
        <v>0</v>
      </c>
      <c r="AF237" s="176" t="s">
        <v>2</v>
      </c>
      <c r="AG237" s="176" t="s">
        <v>2</v>
      </c>
      <c r="AH237" s="176" t="s">
        <v>2</v>
      </c>
      <c r="AI237" s="10">
        <f t="shared" si="84"/>
        <v>0</v>
      </c>
      <c r="AJ237" s="9">
        <f t="shared" si="85"/>
        <v>0</v>
      </c>
    </row>
    <row r="238" spans="1:36" ht="15.75" thickBot="1" x14ac:dyDescent="0.3">
      <c r="A238" s="184" t="s">
        <v>46</v>
      </c>
      <c r="B238" s="229"/>
      <c r="C238" s="265"/>
      <c r="D238" s="230" t="s">
        <v>1</v>
      </c>
      <c r="E238" s="231" t="s">
        <v>0</v>
      </c>
      <c r="F238" s="231" t="s">
        <v>0</v>
      </c>
      <c r="G238" s="231" t="s">
        <v>2</v>
      </c>
      <c r="H238" s="231" t="s">
        <v>2</v>
      </c>
      <c r="I238" s="231" t="s">
        <v>2</v>
      </c>
      <c r="J238" s="231" t="s">
        <v>2</v>
      </c>
      <c r="K238" s="231" t="s">
        <v>2</v>
      </c>
      <c r="L238" s="232" t="s">
        <v>0</v>
      </c>
      <c r="M238" s="232" t="s">
        <v>0</v>
      </c>
      <c r="N238" s="232" t="s">
        <v>1</v>
      </c>
      <c r="O238" s="232" t="s">
        <v>1</v>
      </c>
      <c r="P238" s="232" t="s">
        <v>1</v>
      </c>
      <c r="Q238" s="232" t="s">
        <v>1</v>
      </c>
      <c r="R238" s="232" t="s">
        <v>1</v>
      </c>
      <c r="S238" s="232" t="s">
        <v>1</v>
      </c>
      <c r="T238" s="232" t="s">
        <v>0</v>
      </c>
      <c r="U238" s="232" t="s">
        <v>0</v>
      </c>
      <c r="V238" s="232" t="s">
        <v>0</v>
      </c>
      <c r="W238" s="231" t="s">
        <v>2</v>
      </c>
      <c r="X238" s="231" t="s">
        <v>2</v>
      </c>
      <c r="Y238" s="231" t="s">
        <v>2</v>
      </c>
      <c r="Z238" s="231" t="s">
        <v>2</v>
      </c>
      <c r="AA238" s="231" t="s">
        <v>2</v>
      </c>
      <c r="AB238" s="231" t="s">
        <v>2</v>
      </c>
      <c r="AC238" s="232" t="s">
        <v>0</v>
      </c>
      <c r="AD238" s="232" t="s">
        <v>0</v>
      </c>
      <c r="AE238" s="232" t="s">
        <v>0</v>
      </c>
      <c r="AF238" s="232" t="s">
        <v>1</v>
      </c>
      <c r="AG238" s="232" t="s">
        <v>1</v>
      </c>
      <c r="AH238" s="233" t="s">
        <v>1</v>
      </c>
      <c r="AI238" s="10">
        <f t="shared" si="84"/>
        <v>0</v>
      </c>
      <c r="AJ238" s="9">
        <f t="shared" si="85"/>
        <v>0</v>
      </c>
    </row>
    <row r="239" spans="1:36" x14ac:dyDescent="0.25">
      <c r="A239" s="26" t="s">
        <v>3</v>
      </c>
      <c r="B239" s="222">
        <f>AJ213</f>
        <v>19</v>
      </c>
      <c r="C239" s="265"/>
      <c r="D239" s="80" t="s">
        <v>2</v>
      </c>
      <c r="E239" s="22" t="s">
        <v>0</v>
      </c>
      <c r="F239" s="22" t="s">
        <v>0</v>
      </c>
      <c r="G239" s="22" t="s">
        <v>0</v>
      </c>
      <c r="H239" s="23" t="s">
        <v>1</v>
      </c>
      <c r="I239" s="23" t="s">
        <v>1</v>
      </c>
      <c r="J239" s="23" t="s">
        <v>1</v>
      </c>
      <c r="K239" s="23" t="s">
        <v>1</v>
      </c>
      <c r="L239" s="23" t="s">
        <v>1</v>
      </c>
      <c r="M239" s="23" t="s">
        <v>1</v>
      </c>
      <c r="N239" s="22" t="s">
        <v>0</v>
      </c>
      <c r="O239" s="22" t="s">
        <v>0</v>
      </c>
      <c r="P239" s="22" t="s">
        <v>0</v>
      </c>
      <c r="Q239" s="23" t="s">
        <v>2</v>
      </c>
      <c r="R239" s="23" t="s">
        <v>2</v>
      </c>
      <c r="S239" s="23" t="s">
        <v>2</v>
      </c>
      <c r="T239" s="23" t="s">
        <v>2</v>
      </c>
      <c r="U239" s="23" t="s">
        <v>2</v>
      </c>
      <c r="V239" s="23" t="s">
        <v>2</v>
      </c>
      <c r="W239" s="22" t="s">
        <v>0</v>
      </c>
      <c r="X239" s="22" t="s">
        <v>0</v>
      </c>
      <c r="Y239" s="22" t="s">
        <v>0</v>
      </c>
      <c r="Z239" s="23" t="s">
        <v>31</v>
      </c>
      <c r="AA239" s="23" t="s">
        <v>31</v>
      </c>
      <c r="AB239" s="23" t="s">
        <v>31</v>
      </c>
      <c r="AC239" s="23" t="s">
        <v>31</v>
      </c>
      <c r="AD239" s="23" t="s">
        <v>1</v>
      </c>
      <c r="AE239" s="23" t="s">
        <v>1</v>
      </c>
      <c r="AF239" s="22" t="s">
        <v>0</v>
      </c>
      <c r="AG239" s="22" t="s">
        <v>0</v>
      </c>
      <c r="AH239" s="228" t="s">
        <v>0</v>
      </c>
      <c r="AI239" s="10">
        <f t="shared" si="84"/>
        <v>4</v>
      </c>
      <c r="AJ239" s="9">
        <f t="shared" si="85"/>
        <v>15</v>
      </c>
    </row>
    <row r="240" spans="1:36" x14ac:dyDescent="0.25">
      <c r="A240" s="16" t="s">
        <v>39</v>
      </c>
      <c r="B240" s="214">
        <f>AJ214</f>
        <v>16</v>
      </c>
      <c r="C240" s="265"/>
      <c r="D240" s="108" t="s">
        <v>31</v>
      </c>
      <c r="E240" s="12" t="s">
        <v>0</v>
      </c>
      <c r="F240" s="12" t="s">
        <v>0</v>
      </c>
      <c r="G240" s="12" t="s">
        <v>0</v>
      </c>
      <c r="H240" s="12" t="s">
        <v>2</v>
      </c>
      <c r="I240" s="12" t="s">
        <v>2</v>
      </c>
      <c r="J240" s="12" t="s">
        <v>2</v>
      </c>
      <c r="K240" s="12" t="s">
        <v>2</v>
      </c>
      <c r="L240" s="12" t="s">
        <v>2</v>
      </c>
      <c r="M240" s="12" t="s">
        <v>2</v>
      </c>
      <c r="N240" s="13" t="s">
        <v>0</v>
      </c>
      <c r="O240" s="13" t="s">
        <v>0</v>
      </c>
      <c r="P240" s="13" t="s">
        <v>0</v>
      </c>
      <c r="Q240" s="12" t="s">
        <v>31</v>
      </c>
      <c r="R240" s="12" t="s">
        <v>1</v>
      </c>
      <c r="S240" s="12" t="s">
        <v>1</v>
      </c>
      <c r="T240" s="12" t="s">
        <v>1</v>
      </c>
      <c r="U240" s="12" t="s">
        <v>1</v>
      </c>
      <c r="V240" s="12" t="s">
        <v>1</v>
      </c>
      <c r="W240" s="13" t="s">
        <v>0</v>
      </c>
      <c r="X240" s="13" t="s">
        <v>0</v>
      </c>
      <c r="Y240" s="13" t="s">
        <v>0</v>
      </c>
      <c r="Z240" s="12" t="s">
        <v>2</v>
      </c>
      <c r="AA240" s="12" t="s">
        <v>2</v>
      </c>
      <c r="AB240" s="12" t="s">
        <v>2</v>
      </c>
      <c r="AC240" s="12" t="s">
        <v>2</v>
      </c>
      <c r="AD240" s="12" t="s">
        <v>2</v>
      </c>
      <c r="AE240" s="12" t="s">
        <v>2</v>
      </c>
      <c r="AF240" s="13" t="s">
        <v>0</v>
      </c>
      <c r="AG240" s="13" t="s">
        <v>0</v>
      </c>
      <c r="AH240" s="11" t="s">
        <v>0</v>
      </c>
      <c r="AI240" s="10">
        <f t="shared" si="84"/>
        <v>2</v>
      </c>
      <c r="AJ240" s="9">
        <f t="shared" si="85"/>
        <v>14</v>
      </c>
    </row>
    <row r="241" spans="1:36" ht="21.75" thickBot="1" x14ac:dyDescent="0.3">
      <c r="A241" s="91"/>
      <c r="B241" s="91"/>
      <c r="C241" s="93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1"/>
      <c r="AJ241" s="91"/>
    </row>
    <row r="242" spans="1:36" ht="15" customHeight="1" x14ac:dyDescent="0.25">
      <c r="A242" s="240" t="s">
        <v>30</v>
      </c>
      <c r="B242" s="254" t="s">
        <v>29</v>
      </c>
      <c r="C242" s="260">
        <v>46054</v>
      </c>
      <c r="D242" s="90" t="s">
        <v>26</v>
      </c>
      <c r="E242" s="71" t="s">
        <v>25</v>
      </c>
      <c r="F242" s="71" t="s">
        <v>24</v>
      </c>
      <c r="G242" s="71" t="s">
        <v>23</v>
      </c>
      <c r="H242" s="71" t="s">
        <v>22</v>
      </c>
      <c r="I242" s="71" t="s">
        <v>28</v>
      </c>
      <c r="J242" s="71" t="s">
        <v>27</v>
      </c>
      <c r="K242" s="71" t="s">
        <v>26</v>
      </c>
      <c r="L242" s="71" t="s">
        <v>25</v>
      </c>
      <c r="M242" s="71" t="s">
        <v>24</v>
      </c>
      <c r="N242" s="71" t="s">
        <v>23</v>
      </c>
      <c r="O242" s="71" t="s">
        <v>22</v>
      </c>
      <c r="P242" s="71" t="s">
        <v>28</v>
      </c>
      <c r="Q242" s="71" t="s">
        <v>27</v>
      </c>
      <c r="R242" s="71" t="s">
        <v>26</v>
      </c>
      <c r="S242" s="71" t="s">
        <v>25</v>
      </c>
      <c r="T242" s="71" t="s">
        <v>24</v>
      </c>
      <c r="U242" s="71" t="s">
        <v>23</v>
      </c>
      <c r="V242" s="71" t="s">
        <v>22</v>
      </c>
      <c r="W242" s="71" t="s">
        <v>28</v>
      </c>
      <c r="X242" s="71" t="s">
        <v>27</v>
      </c>
      <c r="Y242" s="71" t="s">
        <v>26</v>
      </c>
      <c r="Z242" s="71" t="s">
        <v>25</v>
      </c>
      <c r="AA242" s="71" t="s">
        <v>24</v>
      </c>
      <c r="AB242" s="71" t="s">
        <v>23</v>
      </c>
      <c r="AC242" s="71" t="s">
        <v>22</v>
      </c>
      <c r="AD242" s="70" t="s">
        <v>28</v>
      </c>
      <c r="AE242" s="70" t="s">
        <v>27</v>
      </c>
      <c r="AF242" s="107"/>
      <c r="AG242" s="106"/>
      <c r="AH242" s="105"/>
      <c r="AI242" s="248" t="s">
        <v>21</v>
      </c>
      <c r="AJ242" s="250" t="s">
        <v>20</v>
      </c>
    </row>
    <row r="243" spans="1:36" ht="15.75" thickBot="1" x14ac:dyDescent="0.3">
      <c r="A243" s="241"/>
      <c r="B243" s="255"/>
      <c r="C243" s="261"/>
      <c r="D243" s="89">
        <v>1</v>
      </c>
      <c r="E243" s="67">
        <v>2</v>
      </c>
      <c r="F243" s="67">
        <v>3</v>
      </c>
      <c r="G243" s="67">
        <v>4</v>
      </c>
      <c r="H243" s="67">
        <v>5</v>
      </c>
      <c r="I243" s="67">
        <v>6</v>
      </c>
      <c r="J243" s="67">
        <v>7</v>
      </c>
      <c r="K243" s="67">
        <v>8</v>
      </c>
      <c r="L243" s="67">
        <v>9</v>
      </c>
      <c r="M243" s="67">
        <v>10</v>
      </c>
      <c r="N243" s="67">
        <v>11</v>
      </c>
      <c r="O243" s="67">
        <v>12</v>
      </c>
      <c r="P243" s="67">
        <v>13</v>
      </c>
      <c r="Q243" s="67">
        <v>14</v>
      </c>
      <c r="R243" s="67">
        <v>15</v>
      </c>
      <c r="S243" s="67">
        <v>16</v>
      </c>
      <c r="T243" s="67">
        <v>17</v>
      </c>
      <c r="U243" s="67">
        <v>18</v>
      </c>
      <c r="V243" s="67">
        <v>19</v>
      </c>
      <c r="W243" s="67">
        <v>20</v>
      </c>
      <c r="X243" s="67">
        <v>21</v>
      </c>
      <c r="Y243" s="67">
        <v>22</v>
      </c>
      <c r="Z243" s="67">
        <v>23</v>
      </c>
      <c r="AA243" s="67">
        <v>24</v>
      </c>
      <c r="AB243" s="67">
        <v>25</v>
      </c>
      <c r="AC243" s="67">
        <v>26</v>
      </c>
      <c r="AD243" s="67">
        <v>27</v>
      </c>
      <c r="AE243" s="66">
        <v>28</v>
      </c>
      <c r="AF243" s="99"/>
      <c r="AG243" s="98"/>
      <c r="AH243" s="97"/>
      <c r="AI243" s="249"/>
      <c r="AJ243" s="251"/>
    </row>
    <row r="244" spans="1:36" x14ac:dyDescent="0.25">
      <c r="A244" s="186" t="s">
        <v>19</v>
      </c>
      <c r="B244" s="207">
        <f t="shared" ref="B244:B252" si="86">AJ218</f>
        <v>3</v>
      </c>
      <c r="C244" s="261"/>
      <c r="D244" s="85" t="s">
        <v>2</v>
      </c>
      <c r="E244" s="42" t="s">
        <v>2</v>
      </c>
      <c r="F244" s="42" t="s">
        <v>2</v>
      </c>
      <c r="G244" s="42" t="s">
        <v>2</v>
      </c>
      <c r="H244" s="42" t="s">
        <v>0</v>
      </c>
      <c r="I244" s="42" t="s">
        <v>0</v>
      </c>
      <c r="J244" s="43" t="s">
        <v>2</v>
      </c>
      <c r="K244" s="43" t="s">
        <v>2</v>
      </c>
      <c r="L244" s="43" t="s">
        <v>2</v>
      </c>
      <c r="M244" s="43" t="s">
        <v>2</v>
      </c>
      <c r="N244" s="42" t="s">
        <v>2</v>
      </c>
      <c r="O244" s="42" t="s">
        <v>0</v>
      </c>
      <c r="P244" s="42" t="s">
        <v>0</v>
      </c>
      <c r="Q244" s="43" t="s">
        <v>2</v>
      </c>
      <c r="R244" s="43" t="s">
        <v>2</v>
      </c>
      <c r="S244" s="42" t="s">
        <v>2</v>
      </c>
      <c r="T244" s="42" t="s">
        <v>2</v>
      </c>
      <c r="U244" s="42" t="s">
        <v>2</v>
      </c>
      <c r="V244" s="42" t="s">
        <v>0</v>
      </c>
      <c r="W244" s="42" t="s">
        <v>0</v>
      </c>
      <c r="X244" s="43" t="s">
        <v>2</v>
      </c>
      <c r="Y244" s="43" t="s">
        <v>2</v>
      </c>
      <c r="Z244" s="42" t="s">
        <v>2</v>
      </c>
      <c r="AA244" s="42" t="s">
        <v>2</v>
      </c>
      <c r="AB244" s="42" t="s">
        <v>2</v>
      </c>
      <c r="AC244" s="42" t="s">
        <v>0</v>
      </c>
      <c r="AD244" s="42" t="s">
        <v>0</v>
      </c>
      <c r="AE244" s="103" t="s">
        <v>2</v>
      </c>
      <c r="AF244" s="99"/>
      <c r="AG244" s="98"/>
      <c r="AH244" s="97"/>
      <c r="AI244" s="88">
        <f t="shared" ref="AI244:AI260" si="87">COUNTIF(D244:AE244,"V")</f>
        <v>0</v>
      </c>
      <c r="AJ244" s="60">
        <f t="shared" ref="AJ244:AJ260" si="88">B244-AI244</f>
        <v>3</v>
      </c>
    </row>
    <row r="245" spans="1:36" ht="15.75" thickBot="1" x14ac:dyDescent="0.3">
      <c r="A245" s="186" t="s">
        <v>16</v>
      </c>
      <c r="B245" s="207">
        <f t="shared" si="86"/>
        <v>2</v>
      </c>
      <c r="C245" s="261"/>
      <c r="D245" s="47" t="s">
        <v>2</v>
      </c>
      <c r="E245" s="30" t="s">
        <v>2</v>
      </c>
      <c r="F245" s="30" t="s">
        <v>2</v>
      </c>
      <c r="G245" s="30" t="s">
        <v>2</v>
      </c>
      <c r="H245" s="28" t="s">
        <v>0</v>
      </c>
      <c r="I245" s="28" t="s">
        <v>0</v>
      </c>
      <c r="J245" s="30" t="s">
        <v>2</v>
      </c>
      <c r="K245" s="30" t="s">
        <v>2</v>
      </c>
      <c r="L245" s="30" t="s">
        <v>2</v>
      </c>
      <c r="M245" s="30" t="s">
        <v>2</v>
      </c>
      <c r="N245" s="30" t="s">
        <v>2</v>
      </c>
      <c r="O245" s="28" t="s">
        <v>0</v>
      </c>
      <c r="P245" s="28" t="s">
        <v>0</v>
      </c>
      <c r="Q245" s="30" t="s">
        <v>2</v>
      </c>
      <c r="R245" s="30" t="s">
        <v>2</v>
      </c>
      <c r="S245" s="30" t="s">
        <v>2</v>
      </c>
      <c r="T245" s="30" t="s">
        <v>2</v>
      </c>
      <c r="U245" s="30" t="s">
        <v>2</v>
      </c>
      <c r="V245" s="28" t="s">
        <v>0</v>
      </c>
      <c r="W245" s="28" t="s">
        <v>0</v>
      </c>
      <c r="X245" s="30" t="s">
        <v>2</v>
      </c>
      <c r="Y245" s="30" t="s">
        <v>2</v>
      </c>
      <c r="Z245" s="30" t="s">
        <v>2</v>
      </c>
      <c r="AA245" s="30" t="s">
        <v>2</v>
      </c>
      <c r="AB245" s="30" t="s">
        <v>2</v>
      </c>
      <c r="AC245" s="28" t="s">
        <v>0</v>
      </c>
      <c r="AD245" s="28" t="s">
        <v>0</v>
      </c>
      <c r="AE245" s="86" t="s">
        <v>2</v>
      </c>
      <c r="AF245" s="99"/>
      <c r="AG245" s="98"/>
      <c r="AH245" s="97"/>
      <c r="AI245" s="76">
        <f t="shared" ref="AI245:AI249" si="89">COUNTIF(D245:AE245,"V")</f>
        <v>0</v>
      </c>
      <c r="AJ245" s="9">
        <f t="shared" ref="AJ245:AJ249" si="90">B245-AI245</f>
        <v>2</v>
      </c>
    </row>
    <row r="246" spans="1:36" ht="15.75" thickBot="1" x14ac:dyDescent="0.3">
      <c r="A246" s="186" t="s">
        <v>36</v>
      </c>
      <c r="B246" s="207">
        <f t="shared" si="86"/>
        <v>15</v>
      </c>
      <c r="C246" s="261"/>
      <c r="D246" s="47" t="s">
        <v>2</v>
      </c>
      <c r="E246" s="30" t="s">
        <v>2</v>
      </c>
      <c r="F246" s="30" t="s">
        <v>2</v>
      </c>
      <c r="G246" s="30" t="s">
        <v>2</v>
      </c>
      <c r="H246" s="28" t="s">
        <v>0</v>
      </c>
      <c r="I246" s="28" t="s">
        <v>0</v>
      </c>
      <c r="J246" s="30" t="s">
        <v>2</v>
      </c>
      <c r="K246" s="30" t="s">
        <v>2</v>
      </c>
      <c r="L246" s="30" t="s">
        <v>2</v>
      </c>
      <c r="M246" s="30" t="s">
        <v>2</v>
      </c>
      <c r="N246" s="30" t="s">
        <v>2</v>
      </c>
      <c r="O246" s="28" t="s">
        <v>0</v>
      </c>
      <c r="P246" s="28" t="s">
        <v>0</v>
      </c>
      <c r="Q246" s="30" t="s">
        <v>2</v>
      </c>
      <c r="R246" s="30" t="s">
        <v>2</v>
      </c>
      <c r="S246" s="30" t="s">
        <v>2</v>
      </c>
      <c r="T246" s="30" t="s">
        <v>2</v>
      </c>
      <c r="U246" s="30" t="s">
        <v>2</v>
      </c>
      <c r="V246" s="28" t="s">
        <v>0</v>
      </c>
      <c r="W246" s="28" t="s">
        <v>0</v>
      </c>
      <c r="X246" s="30" t="s">
        <v>2</v>
      </c>
      <c r="Y246" s="30" t="s">
        <v>2</v>
      </c>
      <c r="Z246" s="30" t="s">
        <v>2</v>
      </c>
      <c r="AA246" s="30" t="s">
        <v>2</v>
      </c>
      <c r="AB246" s="30" t="s">
        <v>2</v>
      </c>
      <c r="AC246" s="28" t="s">
        <v>0</v>
      </c>
      <c r="AD246" s="28" t="s">
        <v>0</v>
      </c>
      <c r="AE246" s="30" t="s">
        <v>2</v>
      </c>
      <c r="AF246" s="99"/>
      <c r="AG246" s="98"/>
      <c r="AH246" s="97"/>
      <c r="AI246" s="76">
        <f t="shared" si="89"/>
        <v>0</v>
      </c>
      <c r="AJ246" s="9">
        <f t="shared" si="90"/>
        <v>15</v>
      </c>
    </row>
    <row r="247" spans="1:36" x14ac:dyDescent="0.25">
      <c r="A247" s="186" t="s">
        <v>17</v>
      </c>
      <c r="B247" s="207">
        <f t="shared" si="86"/>
        <v>12</v>
      </c>
      <c r="C247" s="261"/>
      <c r="D247" s="38" t="s">
        <v>0</v>
      </c>
      <c r="E247" s="35" t="s">
        <v>2</v>
      </c>
      <c r="F247" s="35" t="s">
        <v>2</v>
      </c>
      <c r="G247" s="35" t="s">
        <v>2</v>
      </c>
      <c r="H247" s="35" t="s">
        <v>2</v>
      </c>
      <c r="I247" s="35" t="s">
        <v>2</v>
      </c>
      <c r="J247" s="36" t="s">
        <v>0</v>
      </c>
      <c r="K247" s="36" t="s">
        <v>0</v>
      </c>
      <c r="L247" s="35" t="s">
        <v>2</v>
      </c>
      <c r="M247" s="35" t="s">
        <v>2</v>
      </c>
      <c r="N247" s="35" t="s">
        <v>2</v>
      </c>
      <c r="O247" s="35" t="s">
        <v>2</v>
      </c>
      <c r="P247" s="35" t="s">
        <v>2</v>
      </c>
      <c r="Q247" s="36" t="s">
        <v>0</v>
      </c>
      <c r="R247" s="36" t="s">
        <v>0</v>
      </c>
      <c r="S247" s="35" t="s">
        <v>2</v>
      </c>
      <c r="T247" s="35" t="s">
        <v>2</v>
      </c>
      <c r="U247" s="35" t="s">
        <v>2</v>
      </c>
      <c r="V247" s="35" t="s">
        <v>31</v>
      </c>
      <c r="W247" s="35" t="s">
        <v>31</v>
      </c>
      <c r="X247" s="36" t="s">
        <v>0</v>
      </c>
      <c r="Y247" s="36" t="s">
        <v>0</v>
      </c>
      <c r="Z247" s="35" t="s">
        <v>31</v>
      </c>
      <c r="AA247" s="35" t="s">
        <v>31</v>
      </c>
      <c r="AB247" s="35" t="s">
        <v>31</v>
      </c>
      <c r="AC247" s="35" t="s">
        <v>31</v>
      </c>
      <c r="AD247" s="35" t="s">
        <v>2</v>
      </c>
      <c r="AE247" s="82" t="s">
        <v>0</v>
      </c>
      <c r="AF247" s="99"/>
      <c r="AG247" s="98"/>
      <c r="AH247" s="97"/>
      <c r="AI247" s="76">
        <f t="shared" si="89"/>
        <v>6</v>
      </c>
      <c r="AJ247" s="9">
        <f t="shared" si="90"/>
        <v>6</v>
      </c>
    </row>
    <row r="248" spans="1:36" x14ac:dyDescent="0.25">
      <c r="A248" s="186" t="s">
        <v>18</v>
      </c>
      <c r="B248" s="207">
        <f t="shared" si="86"/>
        <v>5</v>
      </c>
      <c r="C248" s="261"/>
      <c r="D248" s="38" t="s">
        <v>0</v>
      </c>
      <c r="E248" s="35" t="s">
        <v>2</v>
      </c>
      <c r="F248" s="35" t="s">
        <v>2</v>
      </c>
      <c r="G248" s="35" t="s">
        <v>31</v>
      </c>
      <c r="H248" s="35" t="s">
        <v>2</v>
      </c>
      <c r="I248" s="35" t="s">
        <v>2</v>
      </c>
      <c r="J248" s="36" t="s">
        <v>0</v>
      </c>
      <c r="K248" s="36" t="s">
        <v>0</v>
      </c>
      <c r="L248" s="35" t="s">
        <v>2</v>
      </c>
      <c r="M248" s="35" t="s">
        <v>2</v>
      </c>
      <c r="N248" s="35" t="s">
        <v>2</v>
      </c>
      <c r="O248" s="35" t="s">
        <v>2</v>
      </c>
      <c r="P248" s="35" t="s">
        <v>2</v>
      </c>
      <c r="Q248" s="36" t="s">
        <v>0</v>
      </c>
      <c r="R248" s="36" t="s">
        <v>0</v>
      </c>
      <c r="S248" s="35" t="s">
        <v>2</v>
      </c>
      <c r="T248" s="35" t="s">
        <v>2</v>
      </c>
      <c r="U248" s="35" t="s">
        <v>2</v>
      </c>
      <c r="V248" s="35" t="s">
        <v>2</v>
      </c>
      <c r="W248" s="35" t="s">
        <v>2</v>
      </c>
      <c r="X248" s="36" t="s">
        <v>0</v>
      </c>
      <c r="Y248" s="36" t="s">
        <v>0</v>
      </c>
      <c r="Z248" s="35" t="s">
        <v>2</v>
      </c>
      <c r="AA248" s="35" t="s">
        <v>2</v>
      </c>
      <c r="AB248" s="35" t="s">
        <v>2</v>
      </c>
      <c r="AC248" s="35" t="s">
        <v>2</v>
      </c>
      <c r="AD248" s="35" t="s">
        <v>2</v>
      </c>
      <c r="AE248" s="82" t="s">
        <v>0</v>
      </c>
      <c r="AF248" s="99"/>
      <c r="AG248" s="98"/>
      <c r="AH248" s="97"/>
      <c r="AI248" s="76">
        <f t="shared" si="89"/>
        <v>1</v>
      </c>
      <c r="AJ248" s="9">
        <f t="shared" si="90"/>
        <v>4</v>
      </c>
    </row>
    <row r="249" spans="1:36" ht="15.75" thickBot="1" x14ac:dyDescent="0.3">
      <c r="A249" s="203" t="s">
        <v>37</v>
      </c>
      <c r="B249" s="208">
        <f t="shared" si="86"/>
        <v>9</v>
      </c>
      <c r="C249" s="261"/>
      <c r="D249" s="167" t="s">
        <v>0</v>
      </c>
      <c r="E249" s="117" t="s">
        <v>2</v>
      </c>
      <c r="F249" s="117" t="s">
        <v>2</v>
      </c>
      <c r="G249" s="117" t="s">
        <v>2</v>
      </c>
      <c r="H249" s="117" t="s">
        <v>2</v>
      </c>
      <c r="I249" s="117" t="s">
        <v>31</v>
      </c>
      <c r="J249" s="118" t="s">
        <v>0</v>
      </c>
      <c r="K249" s="118" t="s">
        <v>0</v>
      </c>
      <c r="L249" s="117" t="s">
        <v>2</v>
      </c>
      <c r="M249" s="117" t="s">
        <v>2</v>
      </c>
      <c r="N249" s="117" t="s">
        <v>2</v>
      </c>
      <c r="O249" s="117" t="s">
        <v>2</v>
      </c>
      <c r="P249" s="117" t="s">
        <v>2</v>
      </c>
      <c r="Q249" s="118" t="s">
        <v>0</v>
      </c>
      <c r="R249" s="118" t="s">
        <v>0</v>
      </c>
      <c r="S249" s="117" t="s">
        <v>2</v>
      </c>
      <c r="T249" s="117" t="s">
        <v>2</v>
      </c>
      <c r="U249" s="117" t="s">
        <v>2</v>
      </c>
      <c r="V249" s="117" t="s">
        <v>2</v>
      </c>
      <c r="W249" s="117" t="s">
        <v>2</v>
      </c>
      <c r="X249" s="118" t="s">
        <v>0</v>
      </c>
      <c r="Y249" s="118" t="s">
        <v>0</v>
      </c>
      <c r="Z249" s="117" t="s">
        <v>2</v>
      </c>
      <c r="AA249" s="117" t="s">
        <v>2</v>
      </c>
      <c r="AB249" s="117" t="s">
        <v>2</v>
      </c>
      <c r="AC249" s="117" t="s">
        <v>2</v>
      </c>
      <c r="AD249" s="117" t="s">
        <v>2</v>
      </c>
      <c r="AE249" s="166" t="s">
        <v>0</v>
      </c>
      <c r="AF249" s="99"/>
      <c r="AG249" s="98"/>
      <c r="AH249" s="97"/>
      <c r="AI249" s="76">
        <f t="shared" si="89"/>
        <v>1</v>
      </c>
      <c r="AJ249" s="9">
        <f t="shared" si="90"/>
        <v>8</v>
      </c>
    </row>
    <row r="250" spans="1:36" x14ac:dyDescent="0.25">
      <c r="A250" s="55" t="s">
        <v>15</v>
      </c>
      <c r="B250" s="209">
        <f t="shared" si="86"/>
        <v>0</v>
      </c>
      <c r="C250" s="261"/>
      <c r="D250" s="44" t="s">
        <v>2</v>
      </c>
      <c r="E250" s="42" t="s">
        <v>2</v>
      </c>
      <c r="F250" s="42" t="s">
        <v>2</v>
      </c>
      <c r="G250" s="42" t="s">
        <v>2</v>
      </c>
      <c r="H250" s="42" t="s">
        <v>2</v>
      </c>
      <c r="I250" s="43" t="s">
        <v>0</v>
      </c>
      <c r="J250" s="43" t="s">
        <v>0</v>
      </c>
      <c r="K250" s="42" t="s">
        <v>2</v>
      </c>
      <c r="L250" s="42" t="s">
        <v>2</v>
      </c>
      <c r="M250" s="42" t="s">
        <v>2</v>
      </c>
      <c r="N250" s="42" t="s">
        <v>2</v>
      </c>
      <c r="O250" s="42" t="s">
        <v>2</v>
      </c>
      <c r="P250" s="43" t="s">
        <v>0</v>
      </c>
      <c r="Q250" s="43" t="s">
        <v>0</v>
      </c>
      <c r="R250" s="42" t="s">
        <v>2</v>
      </c>
      <c r="S250" s="42" t="s">
        <v>2</v>
      </c>
      <c r="T250" s="42" t="s">
        <v>2</v>
      </c>
      <c r="U250" s="42" t="s">
        <v>2</v>
      </c>
      <c r="V250" s="42" t="s">
        <v>2</v>
      </c>
      <c r="W250" s="43" t="s">
        <v>0</v>
      </c>
      <c r="X250" s="43" t="s">
        <v>0</v>
      </c>
      <c r="Y250" s="42" t="s">
        <v>2</v>
      </c>
      <c r="Z250" s="42" t="s">
        <v>2</v>
      </c>
      <c r="AA250" s="42" t="s">
        <v>2</v>
      </c>
      <c r="AB250" s="42" t="s">
        <v>2</v>
      </c>
      <c r="AC250" s="42" t="s">
        <v>2</v>
      </c>
      <c r="AD250" s="43" t="s">
        <v>0</v>
      </c>
      <c r="AE250" s="103" t="s">
        <v>0</v>
      </c>
      <c r="AF250" s="98"/>
      <c r="AG250" s="98"/>
      <c r="AH250" s="97"/>
      <c r="AI250" s="76">
        <f t="shared" si="87"/>
        <v>0</v>
      </c>
      <c r="AJ250" s="9">
        <f t="shared" si="88"/>
        <v>0</v>
      </c>
    </row>
    <row r="251" spans="1:36" ht="14.25" customHeight="1" x14ac:dyDescent="0.25">
      <c r="A251" s="52" t="s">
        <v>14</v>
      </c>
      <c r="B251" s="210">
        <f t="shared" si="86"/>
        <v>13</v>
      </c>
      <c r="C251" s="261"/>
      <c r="D251" s="50" t="s">
        <v>2</v>
      </c>
      <c r="E251" s="35" t="s">
        <v>2</v>
      </c>
      <c r="F251" s="35" t="s">
        <v>2</v>
      </c>
      <c r="G251" s="35" t="s">
        <v>2</v>
      </c>
      <c r="H251" s="35" t="s">
        <v>2</v>
      </c>
      <c r="I251" s="36" t="s">
        <v>0</v>
      </c>
      <c r="J251" s="36" t="s">
        <v>0</v>
      </c>
      <c r="K251" s="35" t="s">
        <v>2</v>
      </c>
      <c r="L251" s="35" t="s">
        <v>2</v>
      </c>
      <c r="M251" s="35" t="s">
        <v>2</v>
      </c>
      <c r="N251" s="35" t="s">
        <v>2</v>
      </c>
      <c r="O251" s="35" t="s">
        <v>2</v>
      </c>
      <c r="P251" s="36" t="s">
        <v>0</v>
      </c>
      <c r="Q251" s="36" t="s">
        <v>0</v>
      </c>
      <c r="R251" s="35" t="s">
        <v>2</v>
      </c>
      <c r="S251" s="35" t="s">
        <v>2</v>
      </c>
      <c r="T251" s="35" t="s">
        <v>2</v>
      </c>
      <c r="U251" s="35" t="s">
        <v>2</v>
      </c>
      <c r="V251" s="35" t="s">
        <v>2</v>
      </c>
      <c r="W251" s="36" t="s">
        <v>0</v>
      </c>
      <c r="X251" s="36" t="s">
        <v>0</v>
      </c>
      <c r="Y251" s="35" t="s">
        <v>2</v>
      </c>
      <c r="Z251" s="35" t="s">
        <v>2</v>
      </c>
      <c r="AA251" s="35" t="s">
        <v>2</v>
      </c>
      <c r="AB251" s="35" t="s">
        <v>2</v>
      </c>
      <c r="AC251" s="35" t="s">
        <v>2</v>
      </c>
      <c r="AD251" s="36" t="s">
        <v>0</v>
      </c>
      <c r="AE251" s="82" t="s">
        <v>0</v>
      </c>
      <c r="AF251" s="98"/>
      <c r="AG251" s="98"/>
      <c r="AH251" s="97"/>
      <c r="AI251" s="76">
        <f t="shared" si="87"/>
        <v>0</v>
      </c>
      <c r="AJ251" s="9">
        <f t="shared" si="88"/>
        <v>13</v>
      </c>
    </row>
    <row r="252" spans="1:36" x14ac:dyDescent="0.25">
      <c r="A252" s="52" t="s">
        <v>13</v>
      </c>
      <c r="B252" s="210">
        <f t="shared" si="86"/>
        <v>3</v>
      </c>
      <c r="C252" s="261"/>
      <c r="D252" s="50" t="s">
        <v>2</v>
      </c>
      <c r="E252" s="35" t="s">
        <v>2</v>
      </c>
      <c r="F252" s="35" t="s">
        <v>2</v>
      </c>
      <c r="G252" s="35" t="s">
        <v>2</v>
      </c>
      <c r="H252" s="35" t="s">
        <v>2</v>
      </c>
      <c r="I252" s="36" t="s">
        <v>0</v>
      </c>
      <c r="J252" s="36" t="s">
        <v>0</v>
      </c>
      <c r="K252" s="35" t="s">
        <v>31</v>
      </c>
      <c r="L252" s="35" t="s">
        <v>31</v>
      </c>
      <c r="M252" s="35" t="s">
        <v>31</v>
      </c>
      <c r="N252" s="35" t="s">
        <v>31</v>
      </c>
      <c r="O252" s="35" t="s">
        <v>31</v>
      </c>
      <c r="P252" s="36" t="s">
        <v>0</v>
      </c>
      <c r="Q252" s="36" t="s">
        <v>0</v>
      </c>
      <c r="R252" s="35" t="s">
        <v>2</v>
      </c>
      <c r="S252" s="35" t="s">
        <v>2</v>
      </c>
      <c r="T252" s="35" t="s">
        <v>2</v>
      </c>
      <c r="U252" s="35" t="s">
        <v>2</v>
      </c>
      <c r="V252" s="35" t="s">
        <v>2</v>
      </c>
      <c r="W252" s="36" t="s">
        <v>0</v>
      </c>
      <c r="X252" s="36" t="s">
        <v>0</v>
      </c>
      <c r="Y252" s="35" t="s">
        <v>2</v>
      </c>
      <c r="Z252" s="35" t="s">
        <v>2</v>
      </c>
      <c r="AA252" s="35" t="s">
        <v>2</v>
      </c>
      <c r="AB252" s="35" t="s">
        <v>2</v>
      </c>
      <c r="AC252" s="35" t="s">
        <v>2</v>
      </c>
      <c r="AD252" s="36" t="s">
        <v>0</v>
      </c>
      <c r="AE252" s="82" t="s">
        <v>0</v>
      </c>
      <c r="AF252" s="98"/>
      <c r="AG252" s="98"/>
      <c r="AH252" s="97"/>
      <c r="AI252" s="76">
        <f t="shared" si="87"/>
        <v>5</v>
      </c>
      <c r="AJ252" s="9">
        <f t="shared" si="88"/>
        <v>-2</v>
      </c>
    </row>
    <row r="253" spans="1:36" ht="15.75" thickBot="1" x14ac:dyDescent="0.3">
      <c r="A253" s="49" t="s">
        <v>6</v>
      </c>
      <c r="B253" s="211">
        <f>AJ227</f>
        <v>19</v>
      </c>
      <c r="C253" s="261"/>
      <c r="D253" s="6" t="s">
        <v>2</v>
      </c>
      <c r="E253" s="5" t="s">
        <v>2</v>
      </c>
      <c r="F253" s="5" t="s">
        <v>2</v>
      </c>
      <c r="G253" s="5" t="s">
        <v>2</v>
      </c>
      <c r="H253" s="5" t="s">
        <v>2</v>
      </c>
      <c r="I253" s="201" t="s">
        <v>0</v>
      </c>
      <c r="J253" s="201" t="s">
        <v>0</v>
      </c>
      <c r="K253" s="201" t="s">
        <v>0</v>
      </c>
      <c r="L253" s="5" t="s">
        <v>2</v>
      </c>
      <c r="M253" s="5" t="s">
        <v>2</v>
      </c>
      <c r="N253" s="5" t="s">
        <v>2</v>
      </c>
      <c r="O253" s="5" t="s">
        <v>2</v>
      </c>
      <c r="P253" s="5" t="s">
        <v>2</v>
      </c>
      <c r="Q253" s="5" t="s">
        <v>2</v>
      </c>
      <c r="R253" s="201" t="s">
        <v>0</v>
      </c>
      <c r="S253" s="201" t="s">
        <v>0</v>
      </c>
      <c r="T253" s="201" t="s">
        <v>0</v>
      </c>
      <c r="U253" s="5" t="s">
        <v>2</v>
      </c>
      <c r="V253" s="5" t="s">
        <v>2</v>
      </c>
      <c r="W253" s="5" t="s">
        <v>2</v>
      </c>
      <c r="X253" s="5" t="s">
        <v>2</v>
      </c>
      <c r="Y253" s="5" t="s">
        <v>2</v>
      </c>
      <c r="Z253" s="5" t="s">
        <v>2</v>
      </c>
      <c r="AA253" s="201" t="s">
        <v>0</v>
      </c>
      <c r="AB253" s="201" t="s">
        <v>0</v>
      </c>
      <c r="AC253" s="201" t="s">
        <v>0</v>
      </c>
      <c r="AD253" s="5" t="s">
        <v>2</v>
      </c>
      <c r="AE253" s="96" t="s">
        <v>2</v>
      </c>
      <c r="AF253" s="98"/>
      <c r="AG253" s="98"/>
      <c r="AH253" s="97"/>
      <c r="AI253" s="76">
        <f t="shared" ref="AI253" si="91">COUNTIF(D253:AE253,"V")</f>
        <v>0</v>
      </c>
      <c r="AJ253" s="9">
        <f t="shared" si="88"/>
        <v>19</v>
      </c>
    </row>
    <row r="254" spans="1:36" x14ac:dyDescent="0.25">
      <c r="A254" s="187" t="s">
        <v>11</v>
      </c>
      <c r="B254" s="218">
        <f t="shared" ref="B254:B260" si="92">AJ228</f>
        <v>13</v>
      </c>
      <c r="C254" s="261"/>
      <c r="D254" s="198" t="s">
        <v>1</v>
      </c>
      <c r="E254" s="199" t="s">
        <v>1</v>
      </c>
      <c r="F254" s="199" t="s">
        <v>1</v>
      </c>
      <c r="G254" s="122" t="s">
        <v>0</v>
      </c>
      <c r="H254" s="122" t="s">
        <v>0</v>
      </c>
      <c r="I254" s="122" t="s">
        <v>0</v>
      </c>
      <c r="J254" s="121" t="s">
        <v>2</v>
      </c>
      <c r="K254" s="121" t="s">
        <v>2</v>
      </c>
      <c r="L254" s="121" t="s">
        <v>2</v>
      </c>
      <c r="M254" s="199" t="s">
        <v>1</v>
      </c>
      <c r="N254" s="199" t="s">
        <v>1</v>
      </c>
      <c r="O254" s="199" t="s">
        <v>31</v>
      </c>
      <c r="P254" s="122" t="s">
        <v>0</v>
      </c>
      <c r="Q254" s="122" t="s">
        <v>0</v>
      </c>
      <c r="R254" s="122" t="s">
        <v>0</v>
      </c>
      <c r="S254" s="121" t="s">
        <v>2</v>
      </c>
      <c r="T254" s="121" t="s">
        <v>2</v>
      </c>
      <c r="U254" s="121" t="s">
        <v>2</v>
      </c>
      <c r="V254" s="199" t="s">
        <v>1</v>
      </c>
      <c r="W254" s="199" t="s">
        <v>1</v>
      </c>
      <c r="X254" s="199" t="s">
        <v>1</v>
      </c>
      <c r="Y254" s="122" t="s">
        <v>0</v>
      </c>
      <c r="Z254" s="122" t="s">
        <v>0</v>
      </c>
      <c r="AA254" s="122" t="s">
        <v>0</v>
      </c>
      <c r="AB254" s="204" t="s">
        <v>31</v>
      </c>
      <c r="AC254" s="204" t="s">
        <v>31</v>
      </c>
      <c r="AD254" s="204" t="s">
        <v>31</v>
      </c>
      <c r="AE254" s="204" t="s">
        <v>31</v>
      </c>
      <c r="AF254" s="99"/>
      <c r="AG254" s="98"/>
      <c r="AH254" s="97"/>
      <c r="AI254" s="76">
        <f t="shared" si="87"/>
        <v>5</v>
      </c>
      <c r="AJ254" s="9">
        <f t="shared" si="88"/>
        <v>8</v>
      </c>
    </row>
    <row r="255" spans="1:36" ht="15.75" thickBot="1" x14ac:dyDescent="0.3">
      <c r="A255" s="193" t="s">
        <v>10</v>
      </c>
      <c r="B255" s="213">
        <f t="shared" si="92"/>
        <v>3</v>
      </c>
      <c r="C255" s="261"/>
      <c r="D255" s="47" t="s">
        <v>2</v>
      </c>
      <c r="E255" s="30" t="s">
        <v>2</v>
      </c>
      <c r="F255" s="30" t="s">
        <v>2</v>
      </c>
      <c r="G255" s="29" t="s">
        <v>1</v>
      </c>
      <c r="H255" s="29" t="s">
        <v>1</v>
      </c>
      <c r="I255" s="29" t="s">
        <v>1</v>
      </c>
      <c r="J255" s="28" t="s">
        <v>0</v>
      </c>
      <c r="K255" s="28" t="s">
        <v>0</v>
      </c>
      <c r="L255" s="28" t="s">
        <v>0</v>
      </c>
      <c r="M255" s="30" t="s">
        <v>2</v>
      </c>
      <c r="N255" s="30" t="s">
        <v>2</v>
      </c>
      <c r="O255" s="30" t="s">
        <v>2</v>
      </c>
      <c r="P255" s="29" t="s">
        <v>1</v>
      </c>
      <c r="Q255" s="29" t="s">
        <v>1</v>
      </c>
      <c r="R255" s="29" t="s">
        <v>1</v>
      </c>
      <c r="S255" s="28" t="s">
        <v>0</v>
      </c>
      <c r="T255" s="28" t="s">
        <v>0</v>
      </c>
      <c r="U255" s="28" t="s">
        <v>0</v>
      </c>
      <c r="V255" s="30" t="s">
        <v>2</v>
      </c>
      <c r="W255" s="30" t="s">
        <v>2</v>
      </c>
      <c r="X255" s="30" t="s">
        <v>2</v>
      </c>
      <c r="Y255" s="29" t="s">
        <v>1</v>
      </c>
      <c r="Z255" s="29" t="s">
        <v>1</v>
      </c>
      <c r="AA255" s="29" t="s">
        <v>1</v>
      </c>
      <c r="AB255" s="28" t="s">
        <v>0</v>
      </c>
      <c r="AC255" s="28" t="s">
        <v>0</v>
      </c>
      <c r="AD255" s="28" t="s">
        <v>0</v>
      </c>
      <c r="AE255" s="86" t="s">
        <v>2</v>
      </c>
      <c r="AF255" s="99"/>
      <c r="AG255" s="98"/>
      <c r="AH255" s="97"/>
      <c r="AI255" s="76">
        <f t="shared" si="87"/>
        <v>0</v>
      </c>
      <c r="AJ255" s="9">
        <f t="shared" si="88"/>
        <v>3</v>
      </c>
    </row>
    <row r="256" spans="1:36" ht="15.75" thickBot="1" x14ac:dyDescent="0.3">
      <c r="A256" s="189" t="s">
        <v>7</v>
      </c>
      <c r="B256" s="214">
        <f t="shared" si="92"/>
        <v>30</v>
      </c>
      <c r="C256" s="261"/>
      <c r="D256" s="180" t="s">
        <v>2</v>
      </c>
      <c r="E256" s="176" t="s">
        <v>2</v>
      </c>
      <c r="F256" s="176" t="s">
        <v>2</v>
      </c>
      <c r="G256" s="192" t="s">
        <v>2</v>
      </c>
      <c r="H256" s="192" t="s">
        <v>0</v>
      </c>
      <c r="I256" s="192" t="s">
        <v>0</v>
      </c>
      <c r="J256" s="192" t="s">
        <v>2</v>
      </c>
      <c r="K256" s="192" t="s">
        <v>2</v>
      </c>
      <c r="L256" s="192" t="s">
        <v>2</v>
      </c>
      <c r="M256" s="192" t="s">
        <v>2</v>
      </c>
      <c r="N256" s="192" t="s">
        <v>31</v>
      </c>
      <c r="O256" s="192" t="s">
        <v>0</v>
      </c>
      <c r="P256" s="192" t="s">
        <v>0</v>
      </c>
      <c r="Q256" s="192" t="s">
        <v>2</v>
      </c>
      <c r="R256" s="192" t="s">
        <v>2</v>
      </c>
      <c r="S256" s="192" t="s">
        <v>2</v>
      </c>
      <c r="T256" s="192" t="s">
        <v>2</v>
      </c>
      <c r="U256" s="192" t="s">
        <v>2</v>
      </c>
      <c r="V256" s="192" t="s">
        <v>0</v>
      </c>
      <c r="W256" s="192" t="s">
        <v>0</v>
      </c>
      <c r="X256" s="192" t="s">
        <v>2</v>
      </c>
      <c r="Y256" s="192" t="s">
        <v>2</v>
      </c>
      <c r="Z256" s="192" t="s">
        <v>2</v>
      </c>
      <c r="AA256" s="192" t="s">
        <v>2</v>
      </c>
      <c r="AB256" s="192" t="s">
        <v>2</v>
      </c>
      <c r="AC256" s="192" t="s">
        <v>0</v>
      </c>
      <c r="AD256" s="192" t="s">
        <v>0</v>
      </c>
      <c r="AE256" s="181" t="s">
        <v>2</v>
      </c>
      <c r="AF256" s="99"/>
      <c r="AG256" s="98"/>
      <c r="AH256" s="97"/>
      <c r="AI256" s="76">
        <f t="shared" si="87"/>
        <v>1</v>
      </c>
      <c r="AJ256" s="9">
        <f t="shared" si="88"/>
        <v>29</v>
      </c>
    </row>
    <row r="257" spans="1:36" x14ac:dyDescent="0.25">
      <c r="A257" s="189" t="s">
        <v>9</v>
      </c>
      <c r="B257" s="214">
        <f t="shared" si="92"/>
        <v>21</v>
      </c>
      <c r="C257" s="262"/>
      <c r="D257" s="80" t="s">
        <v>2</v>
      </c>
      <c r="E257" s="23" t="s">
        <v>2</v>
      </c>
      <c r="F257" s="23" t="s">
        <v>2</v>
      </c>
      <c r="G257" s="23" t="s">
        <v>2</v>
      </c>
      <c r="H257" s="23" t="s">
        <v>2</v>
      </c>
      <c r="I257" s="23" t="s">
        <v>0</v>
      </c>
      <c r="J257" s="23" t="s">
        <v>0</v>
      </c>
      <c r="K257" s="23" t="s">
        <v>2</v>
      </c>
      <c r="L257" s="23" t="s">
        <v>2</v>
      </c>
      <c r="M257" s="23" t="s">
        <v>2</v>
      </c>
      <c r="N257" s="23" t="s">
        <v>2</v>
      </c>
      <c r="O257" s="23" t="s">
        <v>2</v>
      </c>
      <c r="P257" s="23" t="s">
        <v>0</v>
      </c>
      <c r="Q257" s="23" t="s">
        <v>0</v>
      </c>
      <c r="R257" s="23" t="s">
        <v>31</v>
      </c>
      <c r="S257" s="23" t="s">
        <v>31</v>
      </c>
      <c r="T257" s="23" t="s">
        <v>2</v>
      </c>
      <c r="U257" s="23" t="s">
        <v>2</v>
      </c>
      <c r="V257" s="23" t="s">
        <v>2</v>
      </c>
      <c r="W257" s="23" t="s">
        <v>0</v>
      </c>
      <c r="X257" s="23" t="s">
        <v>0</v>
      </c>
      <c r="Y257" s="23" t="s">
        <v>2</v>
      </c>
      <c r="Z257" s="23" t="s">
        <v>2</v>
      </c>
      <c r="AA257" s="23" t="s">
        <v>2</v>
      </c>
      <c r="AB257" s="23" t="s">
        <v>2</v>
      </c>
      <c r="AC257" s="23" t="s">
        <v>2</v>
      </c>
      <c r="AD257" s="23" t="s">
        <v>0</v>
      </c>
      <c r="AE257" s="101" t="s">
        <v>0</v>
      </c>
      <c r="AF257" s="98"/>
      <c r="AG257" s="98"/>
      <c r="AH257" s="97"/>
      <c r="AI257" s="76">
        <f t="shared" si="87"/>
        <v>2</v>
      </c>
      <c r="AJ257" s="9">
        <f t="shared" si="88"/>
        <v>19</v>
      </c>
    </row>
    <row r="258" spans="1:36" x14ac:dyDescent="0.25">
      <c r="A258" s="189" t="s">
        <v>4</v>
      </c>
      <c r="B258" s="214">
        <f t="shared" si="92"/>
        <v>12</v>
      </c>
      <c r="C258" s="262"/>
      <c r="D258" s="14" t="s">
        <v>0</v>
      </c>
      <c r="E258" s="13" t="s">
        <v>2</v>
      </c>
      <c r="F258" s="13" t="s">
        <v>2</v>
      </c>
      <c r="G258" s="13" t="s">
        <v>2</v>
      </c>
      <c r="H258" s="13" t="s">
        <v>2</v>
      </c>
      <c r="I258" s="13" t="s">
        <v>2</v>
      </c>
      <c r="J258" s="13" t="s">
        <v>0</v>
      </c>
      <c r="K258" s="13" t="s">
        <v>0</v>
      </c>
      <c r="L258" s="13" t="s">
        <v>2</v>
      </c>
      <c r="M258" s="13" t="s">
        <v>2</v>
      </c>
      <c r="N258" s="13" t="s">
        <v>2</v>
      </c>
      <c r="O258" s="13" t="s">
        <v>2</v>
      </c>
      <c r="P258" s="13" t="s">
        <v>2</v>
      </c>
      <c r="Q258" s="13" t="s">
        <v>0</v>
      </c>
      <c r="R258" s="13" t="s">
        <v>0</v>
      </c>
      <c r="S258" s="13" t="s">
        <v>2</v>
      </c>
      <c r="T258" s="13" t="s">
        <v>2</v>
      </c>
      <c r="U258" s="13" t="s">
        <v>2</v>
      </c>
      <c r="V258" s="13" t="s">
        <v>2</v>
      </c>
      <c r="W258" s="13" t="s">
        <v>2</v>
      </c>
      <c r="X258" s="13" t="s">
        <v>0</v>
      </c>
      <c r="Y258" s="13" t="s">
        <v>0</v>
      </c>
      <c r="Z258" s="13" t="s">
        <v>31</v>
      </c>
      <c r="AA258" s="13" t="s">
        <v>31</v>
      </c>
      <c r="AB258" s="13" t="s">
        <v>31</v>
      </c>
      <c r="AC258" s="13" t="s">
        <v>2</v>
      </c>
      <c r="AD258" s="12" t="s">
        <v>2</v>
      </c>
      <c r="AE258" s="77" t="s">
        <v>0</v>
      </c>
      <c r="AF258" s="98"/>
      <c r="AG258" s="98"/>
      <c r="AH258" s="97"/>
      <c r="AI258" s="76">
        <f t="shared" ref="AI258" si="93">COUNTIF(D258:AE258,"V")</f>
        <v>3</v>
      </c>
      <c r="AJ258" s="9">
        <f t="shared" ref="AJ258" si="94">B258-AI258</f>
        <v>9</v>
      </c>
    </row>
    <row r="259" spans="1:36" x14ac:dyDescent="0.25">
      <c r="A259" s="189" t="s">
        <v>8</v>
      </c>
      <c r="B259" s="214">
        <f t="shared" si="92"/>
        <v>16</v>
      </c>
      <c r="C259" s="262"/>
      <c r="D259" s="14" t="s">
        <v>0</v>
      </c>
      <c r="E259" s="13" t="s">
        <v>0</v>
      </c>
      <c r="F259" s="13" t="s">
        <v>0</v>
      </c>
      <c r="G259" s="13" t="s">
        <v>1</v>
      </c>
      <c r="H259" s="13" t="s">
        <v>1</v>
      </c>
      <c r="I259" s="13" t="s">
        <v>1</v>
      </c>
      <c r="J259" s="13" t="s">
        <v>1</v>
      </c>
      <c r="K259" s="13" t="s">
        <v>1</v>
      </c>
      <c r="L259" s="13" t="s">
        <v>1</v>
      </c>
      <c r="M259" s="13" t="s">
        <v>0</v>
      </c>
      <c r="N259" s="13" t="s">
        <v>0</v>
      </c>
      <c r="O259" s="13" t="s">
        <v>0</v>
      </c>
      <c r="P259" s="12" t="s">
        <v>2</v>
      </c>
      <c r="Q259" s="12" t="s">
        <v>2</v>
      </c>
      <c r="R259" s="12" t="s">
        <v>2</v>
      </c>
      <c r="S259" s="12" t="s">
        <v>2</v>
      </c>
      <c r="T259" s="12" t="s">
        <v>2</v>
      </c>
      <c r="U259" s="12" t="s">
        <v>2</v>
      </c>
      <c r="V259" s="13" t="s">
        <v>0</v>
      </c>
      <c r="W259" s="13" t="s">
        <v>0</v>
      </c>
      <c r="X259" s="13" t="s">
        <v>0</v>
      </c>
      <c r="Y259" s="13" t="s">
        <v>1</v>
      </c>
      <c r="Z259" s="13" t="s">
        <v>1</v>
      </c>
      <c r="AA259" s="13" t="s">
        <v>1</v>
      </c>
      <c r="AB259" s="13" t="s">
        <v>1</v>
      </c>
      <c r="AC259" s="13" t="s">
        <v>1</v>
      </c>
      <c r="AD259" s="13" t="s">
        <v>1</v>
      </c>
      <c r="AE259" s="77" t="s">
        <v>0</v>
      </c>
      <c r="AF259" s="98"/>
      <c r="AG259" s="98"/>
      <c r="AH259" s="97"/>
      <c r="AI259" s="76">
        <f t="shared" si="87"/>
        <v>0</v>
      </c>
      <c r="AJ259" s="9">
        <f t="shared" si="88"/>
        <v>16</v>
      </c>
    </row>
    <row r="260" spans="1:36" x14ac:dyDescent="0.25">
      <c r="A260" s="189" t="s">
        <v>33</v>
      </c>
      <c r="B260" s="214">
        <f t="shared" si="92"/>
        <v>22</v>
      </c>
      <c r="C260" s="262"/>
      <c r="D260" s="14" t="s">
        <v>0</v>
      </c>
      <c r="E260" s="13" t="s">
        <v>0</v>
      </c>
      <c r="F260" s="13" t="s">
        <v>0</v>
      </c>
      <c r="G260" s="17" t="s">
        <v>2</v>
      </c>
      <c r="H260" s="17" t="s">
        <v>2</v>
      </c>
      <c r="I260" s="17" t="s">
        <v>2</v>
      </c>
      <c r="J260" s="17" t="s">
        <v>2</v>
      </c>
      <c r="K260" s="17" t="s">
        <v>2</v>
      </c>
      <c r="L260" s="17" t="s">
        <v>2</v>
      </c>
      <c r="M260" s="13" t="s">
        <v>0</v>
      </c>
      <c r="N260" s="13" t="s">
        <v>0</v>
      </c>
      <c r="O260" s="13" t="s">
        <v>0</v>
      </c>
      <c r="P260" s="17" t="s">
        <v>1</v>
      </c>
      <c r="Q260" s="17" t="s">
        <v>1</v>
      </c>
      <c r="R260" s="17" t="s">
        <v>31</v>
      </c>
      <c r="S260" s="17" t="s">
        <v>31</v>
      </c>
      <c r="T260" s="17" t="s">
        <v>31</v>
      </c>
      <c r="U260" s="17" t="s">
        <v>31</v>
      </c>
      <c r="V260" s="17" t="s">
        <v>31</v>
      </c>
      <c r="W260" s="17" t="s">
        <v>31</v>
      </c>
      <c r="X260" s="17" t="s">
        <v>31</v>
      </c>
      <c r="Y260" s="17" t="s">
        <v>31</v>
      </c>
      <c r="Z260" s="17" t="s">
        <v>31</v>
      </c>
      <c r="AA260" s="17" t="s">
        <v>31</v>
      </c>
      <c r="AB260" s="17" t="s">
        <v>31</v>
      </c>
      <c r="AC260" s="17" t="s">
        <v>31</v>
      </c>
      <c r="AD260" s="17" t="s">
        <v>31</v>
      </c>
      <c r="AE260" s="77" t="s">
        <v>0</v>
      </c>
      <c r="AF260" s="98"/>
      <c r="AG260" s="98"/>
      <c r="AH260" s="97"/>
      <c r="AI260" s="76">
        <f t="shared" si="87"/>
        <v>13</v>
      </c>
      <c r="AJ260" s="9">
        <f t="shared" si="88"/>
        <v>9</v>
      </c>
    </row>
    <row r="261" spans="1:36" x14ac:dyDescent="0.25">
      <c r="A261" s="189" t="s">
        <v>40</v>
      </c>
      <c r="B261" s="214">
        <f>AJ235</f>
        <v>9</v>
      </c>
      <c r="C261" s="262"/>
      <c r="D261" s="14" t="s">
        <v>0</v>
      </c>
      <c r="E261" s="13" t="s">
        <v>0</v>
      </c>
      <c r="F261" s="13" t="s">
        <v>0</v>
      </c>
      <c r="G261" s="17" t="s">
        <v>2</v>
      </c>
      <c r="H261" s="17" t="s">
        <v>2</v>
      </c>
      <c r="I261" s="17" t="s">
        <v>2</v>
      </c>
      <c r="J261" s="17" t="s">
        <v>31</v>
      </c>
      <c r="K261" s="17" t="s">
        <v>2</v>
      </c>
      <c r="L261" s="17" t="s">
        <v>2</v>
      </c>
      <c r="M261" s="13" t="s">
        <v>0</v>
      </c>
      <c r="N261" s="13" t="s">
        <v>0</v>
      </c>
      <c r="O261" s="13" t="s">
        <v>0</v>
      </c>
      <c r="P261" s="17" t="s">
        <v>1</v>
      </c>
      <c r="Q261" s="17" t="s">
        <v>31</v>
      </c>
      <c r="R261" s="17" t="s">
        <v>1</v>
      </c>
      <c r="S261" s="17" t="s">
        <v>1</v>
      </c>
      <c r="T261" s="17" t="s">
        <v>1</v>
      </c>
      <c r="U261" s="17" t="s">
        <v>1</v>
      </c>
      <c r="V261" s="17" t="s">
        <v>0</v>
      </c>
      <c r="W261" s="17" t="s">
        <v>0</v>
      </c>
      <c r="X261" s="17" t="s">
        <v>0</v>
      </c>
      <c r="Y261" s="17" t="s">
        <v>2</v>
      </c>
      <c r="Z261" s="17" t="s">
        <v>2</v>
      </c>
      <c r="AA261" s="17" t="s">
        <v>2</v>
      </c>
      <c r="AB261" s="17" t="s">
        <v>2</v>
      </c>
      <c r="AC261" s="17" t="s">
        <v>2</v>
      </c>
      <c r="AD261" s="17" t="s">
        <v>2</v>
      </c>
      <c r="AE261" s="13" t="s">
        <v>0</v>
      </c>
      <c r="AF261" s="98"/>
      <c r="AG261" s="98"/>
      <c r="AH261" s="97"/>
      <c r="AI261" s="76">
        <f t="shared" ref="AI261:AI266" si="95">COUNTIF(D261:AE261,"V")</f>
        <v>2</v>
      </c>
      <c r="AJ261" s="9">
        <f t="shared" ref="AJ261:AJ266" si="96">B261-AI261</f>
        <v>7</v>
      </c>
    </row>
    <row r="262" spans="1:36" x14ac:dyDescent="0.25">
      <c r="A262" s="189" t="s">
        <v>5</v>
      </c>
      <c r="B262" s="214">
        <f>AJ236</f>
        <v>13</v>
      </c>
      <c r="C262" s="262"/>
      <c r="D262" s="14" t="s">
        <v>1</v>
      </c>
      <c r="E262" s="13" t="s">
        <v>1</v>
      </c>
      <c r="F262" s="13" t="s">
        <v>1</v>
      </c>
      <c r="G262" s="17" t="s">
        <v>0</v>
      </c>
      <c r="H262" s="17" t="s">
        <v>0</v>
      </c>
      <c r="I262" s="17" t="s">
        <v>0</v>
      </c>
      <c r="J262" s="12" t="s">
        <v>2</v>
      </c>
      <c r="K262" s="12" t="s">
        <v>2</v>
      </c>
      <c r="L262" s="12" t="s">
        <v>2</v>
      </c>
      <c r="M262" s="12" t="s">
        <v>2</v>
      </c>
      <c r="N262" s="12" t="s">
        <v>2</v>
      </c>
      <c r="O262" s="12" t="s">
        <v>2</v>
      </c>
      <c r="P262" s="17" t="s">
        <v>0</v>
      </c>
      <c r="Q262" s="17" t="s">
        <v>0</v>
      </c>
      <c r="R262" s="17" t="s">
        <v>0</v>
      </c>
      <c r="S262" s="13" t="s">
        <v>1</v>
      </c>
      <c r="T262" s="13" t="s">
        <v>1</v>
      </c>
      <c r="U262" s="13" t="s">
        <v>1</v>
      </c>
      <c r="V262" s="13" t="s">
        <v>1</v>
      </c>
      <c r="W262" s="13" t="s">
        <v>1</v>
      </c>
      <c r="X262" s="13" t="s">
        <v>1</v>
      </c>
      <c r="Y262" s="17" t="s">
        <v>0</v>
      </c>
      <c r="Z262" s="17" t="s">
        <v>0</v>
      </c>
      <c r="AA262" s="17" t="s">
        <v>0</v>
      </c>
      <c r="AB262" s="12" t="s">
        <v>2</v>
      </c>
      <c r="AC262" s="12" t="s">
        <v>2</v>
      </c>
      <c r="AD262" s="12" t="s">
        <v>2</v>
      </c>
      <c r="AE262" s="100" t="s">
        <v>2</v>
      </c>
      <c r="AF262" s="98"/>
      <c r="AG262" s="98"/>
      <c r="AH262" s="97"/>
      <c r="AI262" s="76">
        <f t="shared" si="95"/>
        <v>0</v>
      </c>
      <c r="AJ262" s="9">
        <f t="shared" si="96"/>
        <v>13</v>
      </c>
    </row>
    <row r="263" spans="1:36" x14ac:dyDescent="0.25">
      <c r="A263" s="189" t="s">
        <v>43</v>
      </c>
      <c r="B263" s="214"/>
      <c r="C263" s="262"/>
      <c r="D263" s="14" t="s">
        <v>2</v>
      </c>
      <c r="E263" s="13" t="s">
        <v>2</v>
      </c>
      <c r="F263" s="13" t="s">
        <v>2</v>
      </c>
      <c r="G263" s="17" t="s">
        <v>0</v>
      </c>
      <c r="H263" s="17" t="s">
        <v>0</v>
      </c>
      <c r="I263" s="17" t="s">
        <v>0</v>
      </c>
      <c r="J263" s="12" t="s">
        <v>31</v>
      </c>
      <c r="K263" s="12" t="s">
        <v>31</v>
      </c>
      <c r="L263" s="12" t="s">
        <v>31</v>
      </c>
      <c r="M263" s="12" t="s">
        <v>31</v>
      </c>
      <c r="N263" s="12" t="s">
        <v>31</v>
      </c>
      <c r="O263" s="12" t="s">
        <v>31</v>
      </c>
      <c r="P263" s="12" t="s">
        <v>31</v>
      </c>
      <c r="Q263" s="12" t="s">
        <v>31</v>
      </c>
      <c r="R263" s="12" t="s">
        <v>31</v>
      </c>
      <c r="S263" s="13" t="s">
        <v>2</v>
      </c>
      <c r="T263" s="13" t="s">
        <v>2</v>
      </c>
      <c r="U263" s="13" t="s">
        <v>2</v>
      </c>
      <c r="V263" s="13" t="s">
        <v>2</v>
      </c>
      <c r="W263" s="13" t="s">
        <v>2</v>
      </c>
      <c r="X263" s="13" t="s">
        <v>2</v>
      </c>
      <c r="Y263" s="17" t="s">
        <v>0</v>
      </c>
      <c r="Z263" s="17" t="s">
        <v>0</v>
      </c>
      <c r="AA263" s="17" t="s">
        <v>0</v>
      </c>
      <c r="AB263" s="12" t="s">
        <v>1</v>
      </c>
      <c r="AC263" s="12" t="s">
        <v>1</v>
      </c>
      <c r="AD263" s="12" t="s">
        <v>1</v>
      </c>
      <c r="AE263" s="100" t="s">
        <v>1</v>
      </c>
      <c r="AF263" s="98"/>
      <c r="AG263" s="98"/>
      <c r="AH263" s="97"/>
      <c r="AI263" s="76">
        <f t="shared" ref="AI263" si="97">COUNTIF(D263:AE263,"V")</f>
        <v>9</v>
      </c>
      <c r="AJ263" s="9">
        <f t="shared" ref="AJ263" si="98">B263-AI263</f>
        <v>-9</v>
      </c>
    </row>
    <row r="264" spans="1:36" x14ac:dyDescent="0.25">
      <c r="A264" s="189" t="s">
        <v>46</v>
      </c>
      <c r="B264" s="214"/>
      <c r="C264" s="262"/>
      <c r="D264" s="14" t="s">
        <v>1</v>
      </c>
      <c r="E264" s="13" t="s">
        <v>1</v>
      </c>
      <c r="F264" s="13" t="s">
        <v>1</v>
      </c>
      <c r="G264" s="17" t="s">
        <v>0</v>
      </c>
      <c r="H264" s="17" t="s">
        <v>0</v>
      </c>
      <c r="I264" s="17" t="s">
        <v>0</v>
      </c>
      <c r="J264" s="12" t="s">
        <v>2</v>
      </c>
      <c r="K264" s="12" t="s">
        <v>2</v>
      </c>
      <c r="L264" s="12" t="s">
        <v>2</v>
      </c>
      <c r="M264" s="12" t="s">
        <v>2</v>
      </c>
      <c r="N264" s="12" t="s">
        <v>2</v>
      </c>
      <c r="O264" s="12" t="s">
        <v>2</v>
      </c>
      <c r="P264" s="17" t="s">
        <v>0</v>
      </c>
      <c r="Q264" s="17" t="s">
        <v>0</v>
      </c>
      <c r="R264" s="17" t="s">
        <v>0</v>
      </c>
      <c r="S264" s="13" t="s">
        <v>1</v>
      </c>
      <c r="T264" s="13" t="s">
        <v>1</v>
      </c>
      <c r="U264" s="13" t="s">
        <v>1</v>
      </c>
      <c r="V264" s="13" t="s">
        <v>1</v>
      </c>
      <c r="W264" s="13" t="s">
        <v>1</v>
      </c>
      <c r="X264" s="13" t="s">
        <v>1</v>
      </c>
      <c r="Y264" s="17" t="s">
        <v>0</v>
      </c>
      <c r="Z264" s="17" t="s">
        <v>0</v>
      </c>
      <c r="AA264" s="17" t="s">
        <v>0</v>
      </c>
      <c r="AB264" s="12" t="s">
        <v>2</v>
      </c>
      <c r="AC264" s="12" t="s">
        <v>2</v>
      </c>
      <c r="AD264" s="12" t="s">
        <v>2</v>
      </c>
      <c r="AE264" s="100" t="s">
        <v>2</v>
      </c>
      <c r="AF264" s="98"/>
      <c r="AG264" s="98"/>
      <c r="AH264" s="97"/>
      <c r="AI264" s="76">
        <f t="shared" si="95"/>
        <v>0</v>
      </c>
      <c r="AJ264" s="9">
        <f t="shared" si="96"/>
        <v>0</v>
      </c>
    </row>
    <row r="265" spans="1:36" ht="15.75" thickBot="1" x14ac:dyDescent="0.3">
      <c r="A265" s="189" t="s">
        <v>3</v>
      </c>
      <c r="B265" s="214">
        <f>AJ239</f>
        <v>15</v>
      </c>
      <c r="C265" s="262"/>
      <c r="D265" s="108" t="s">
        <v>2</v>
      </c>
      <c r="E265" s="12" t="s">
        <v>2</v>
      </c>
      <c r="F265" s="12" t="s">
        <v>2</v>
      </c>
      <c r="G265" s="12" t="s">
        <v>2</v>
      </c>
      <c r="H265" s="12" t="s">
        <v>2</v>
      </c>
      <c r="I265" s="12" t="s">
        <v>2</v>
      </c>
      <c r="J265" s="12" t="s">
        <v>0</v>
      </c>
      <c r="K265" s="12" t="s">
        <v>0</v>
      </c>
      <c r="L265" s="12" t="s">
        <v>0</v>
      </c>
      <c r="M265" s="13" t="s">
        <v>1</v>
      </c>
      <c r="N265" s="13" t="s">
        <v>1</v>
      </c>
      <c r="O265" s="13" t="s">
        <v>1</v>
      </c>
      <c r="P265" s="13" t="s">
        <v>1</v>
      </c>
      <c r="Q265" s="13" t="s">
        <v>1</v>
      </c>
      <c r="R265" s="13" t="s">
        <v>1</v>
      </c>
      <c r="S265" s="12" t="s">
        <v>0</v>
      </c>
      <c r="T265" s="12" t="s">
        <v>0</v>
      </c>
      <c r="U265" s="12" t="s">
        <v>0</v>
      </c>
      <c r="V265" s="13" t="s">
        <v>2</v>
      </c>
      <c r="W265" s="13" t="s">
        <v>2</v>
      </c>
      <c r="X265" s="13" t="s">
        <v>2</v>
      </c>
      <c r="Y265" s="13" t="s">
        <v>2</v>
      </c>
      <c r="Z265" s="13" t="s">
        <v>2</v>
      </c>
      <c r="AA265" s="13" t="s">
        <v>2</v>
      </c>
      <c r="AB265" s="12" t="s">
        <v>0</v>
      </c>
      <c r="AC265" s="12" t="s">
        <v>0</v>
      </c>
      <c r="AD265" s="12" t="s">
        <v>0</v>
      </c>
      <c r="AE265" s="77" t="s">
        <v>1</v>
      </c>
      <c r="AF265" s="95"/>
      <c r="AG265" s="95"/>
      <c r="AH265" s="94"/>
      <c r="AI265" s="76">
        <f t="shared" si="95"/>
        <v>0</v>
      </c>
      <c r="AJ265" s="9">
        <f t="shared" si="96"/>
        <v>15</v>
      </c>
    </row>
    <row r="266" spans="1:36" ht="15.75" thickBot="1" x14ac:dyDescent="0.3">
      <c r="A266" s="189" t="s">
        <v>39</v>
      </c>
      <c r="B266" s="214"/>
      <c r="C266" s="263"/>
      <c r="D266" s="6" t="s">
        <v>1</v>
      </c>
      <c r="E266" s="5" t="s">
        <v>1</v>
      </c>
      <c r="F266" s="5" t="s">
        <v>1</v>
      </c>
      <c r="G266" s="5" t="s">
        <v>1</v>
      </c>
      <c r="H266" s="5" t="s">
        <v>1</v>
      </c>
      <c r="I266" s="5" t="s">
        <v>1</v>
      </c>
      <c r="J266" s="5" t="s">
        <v>0</v>
      </c>
      <c r="K266" s="5" t="s">
        <v>0</v>
      </c>
      <c r="L266" s="5" t="s">
        <v>0</v>
      </c>
      <c r="M266" s="4" t="s">
        <v>2</v>
      </c>
      <c r="N266" s="4" t="s">
        <v>2</v>
      </c>
      <c r="O266" s="4" t="s">
        <v>2</v>
      </c>
      <c r="P266" s="4" t="s">
        <v>2</v>
      </c>
      <c r="Q266" s="4" t="s">
        <v>2</v>
      </c>
      <c r="R266" s="4" t="s">
        <v>2</v>
      </c>
      <c r="S266" s="5" t="s">
        <v>0</v>
      </c>
      <c r="T266" s="5" t="s">
        <v>0</v>
      </c>
      <c r="U266" s="5" t="s">
        <v>0</v>
      </c>
      <c r="V266" s="4" t="s">
        <v>1</v>
      </c>
      <c r="W266" s="4" t="s">
        <v>1</v>
      </c>
      <c r="X266" s="4" t="s">
        <v>1</v>
      </c>
      <c r="Y266" s="4" t="s">
        <v>1</v>
      </c>
      <c r="Z266" s="4" t="s">
        <v>1</v>
      </c>
      <c r="AA266" s="4" t="s">
        <v>1</v>
      </c>
      <c r="AB266" s="5" t="s">
        <v>0</v>
      </c>
      <c r="AC266" s="5" t="s">
        <v>0</v>
      </c>
      <c r="AD266" s="4" t="s">
        <v>0</v>
      </c>
      <c r="AE266" s="96" t="s">
        <v>2</v>
      </c>
      <c r="AF266" s="98"/>
      <c r="AG266" s="98"/>
      <c r="AH266" s="97"/>
      <c r="AI266" s="76">
        <f t="shared" si="95"/>
        <v>0</v>
      </c>
      <c r="AJ266" s="9">
        <f t="shared" si="96"/>
        <v>0</v>
      </c>
    </row>
    <row r="267" spans="1:36" ht="21.75" thickBot="1" x14ac:dyDescent="0.3">
      <c r="A267" s="91"/>
      <c r="B267" s="91"/>
      <c r="C267" s="93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1"/>
      <c r="AJ267" s="91"/>
    </row>
    <row r="268" spans="1:36" ht="15" customHeight="1" x14ac:dyDescent="0.25">
      <c r="A268" s="252" t="s">
        <v>30</v>
      </c>
      <c r="B268" s="254" t="s">
        <v>29</v>
      </c>
      <c r="C268" s="256">
        <v>46082</v>
      </c>
      <c r="D268" s="90" t="s">
        <v>26</v>
      </c>
      <c r="E268" s="71" t="s">
        <v>25</v>
      </c>
      <c r="F268" s="71" t="s">
        <v>24</v>
      </c>
      <c r="G268" s="71" t="s">
        <v>23</v>
      </c>
      <c r="H268" s="71" t="s">
        <v>22</v>
      </c>
      <c r="I268" s="71" t="s">
        <v>28</v>
      </c>
      <c r="J268" s="71" t="s">
        <v>27</v>
      </c>
      <c r="K268" s="71" t="s">
        <v>26</v>
      </c>
      <c r="L268" s="71" t="s">
        <v>25</v>
      </c>
      <c r="M268" s="71" t="s">
        <v>24</v>
      </c>
      <c r="N268" s="71" t="s">
        <v>23</v>
      </c>
      <c r="O268" s="71" t="s">
        <v>22</v>
      </c>
      <c r="P268" s="71" t="s">
        <v>28</v>
      </c>
      <c r="Q268" s="71" t="s">
        <v>27</v>
      </c>
      <c r="R268" s="71" t="s">
        <v>26</v>
      </c>
      <c r="S268" s="71" t="s">
        <v>25</v>
      </c>
      <c r="T268" s="71" t="s">
        <v>24</v>
      </c>
      <c r="U268" s="71" t="s">
        <v>23</v>
      </c>
      <c r="V268" s="71" t="s">
        <v>22</v>
      </c>
      <c r="W268" s="71" t="s">
        <v>28</v>
      </c>
      <c r="X268" s="71" t="s">
        <v>27</v>
      </c>
      <c r="Y268" s="71" t="s">
        <v>26</v>
      </c>
      <c r="Z268" s="71" t="s">
        <v>25</v>
      </c>
      <c r="AA268" s="71" t="s">
        <v>24</v>
      </c>
      <c r="AB268" s="71" t="s">
        <v>23</v>
      </c>
      <c r="AC268" s="71" t="s">
        <v>22</v>
      </c>
      <c r="AD268" s="71" t="s">
        <v>28</v>
      </c>
      <c r="AE268" s="71" t="s">
        <v>27</v>
      </c>
      <c r="AF268" s="71" t="s">
        <v>26</v>
      </c>
      <c r="AG268" s="71" t="s">
        <v>25</v>
      </c>
      <c r="AH268" s="69" t="s">
        <v>24</v>
      </c>
      <c r="AI268" s="248" t="s">
        <v>21</v>
      </c>
      <c r="AJ268" s="250" t="s">
        <v>20</v>
      </c>
    </row>
    <row r="269" spans="1:36" ht="15.75" thickBot="1" x14ac:dyDescent="0.3">
      <c r="A269" s="253"/>
      <c r="B269" s="255"/>
      <c r="C269" s="257"/>
      <c r="D269" s="89">
        <v>1</v>
      </c>
      <c r="E269" s="67">
        <v>2</v>
      </c>
      <c r="F269" s="67">
        <v>3</v>
      </c>
      <c r="G269" s="67">
        <v>4</v>
      </c>
      <c r="H269" s="67">
        <v>5</v>
      </c>
      <c r="I269" s="67">
        <v>6</v>
      </c>
      <c r="J269" s="67">
        <v>7</v>
      </c>
      <c r="K269" s="67">
        <v>8</v>
      </c>
      <c r="L269" s="67">
        <v>9</v>
      </c>
      <c r="M269" s="67">
        <v>10</v>
      </c>
      <c r="N269" s="67">
        <v>11</v>
      </c>
      <c r="O269" s="67">
        <v>12</v>
      </c>
      <c r="P269" s="67">
        <v>13</v>
      </c>
      <c r="Q269" s="67">
        <v>14</v>
      </c>
      <c r="R269" s="67">
        <v>15</v>
      </c>
      <c r="S269" s="67">
        <v>16</v>
      </c>
      <c r="T269" s="67">
        <v>17</v>
      </c>
      <c r="U269" s="67">
        <v>18</v>
      </c>
      <c r="V269" s="67">
        <v>19</v>
      </c>
      <c r="W269" s="67">
        <v>20</v>
      </c>
      <c r="X269" s="67">
        <v>21</v>
      </c>
      <c r="Y269" s="67">
        <v>22</v>
      </c>
      <c r="Z269" s="67">
        <v>23</v>
      </c>
      <c r="AA269" s="67">
        <v>24</v>
      </c>
      <c r="AB269" s="67">
        <v>25</v>
      </c>
      <c r="AC269" s="67">
        <v>26</v>
      </c>
      <c r="AD269" s="67">
        <v>27</v>
      </c>
      <c r="AE269" s="67">
        <v>28</v>
      </c>
      <c r="AF269" s="67">
        <v>29</v>
      </c>
      <c r="AG269" s="67">
        <v>30</v>
      </c>
      <c r="AH269" s="65">
        <v>31</v>
      </c>
      <c r="AI269" s="249"/>
      <c r="AJ269" s="251"/>
    </row>
    <row r="270" spans="1:36" x14ac:dyDescent="0.25">
      <c r="A270" s="64" t="s">
        <v>19</v>
      </c>
      <c r="B270" s="205">
        <f t="shared" ref="B270:B286" si="99">AJ244</f>
        <v>3</v>
      </c>
      <c r="C270" s="257"/>
      <c r="D270" s="85" t="s">
        <v>2</v>
      </c>
      <c r="E270" s="42" t="s">
        <v>2</v>
      </c>
      <c r="F270" s="42" t="s">
        <v>2</v>
      </c>
      <c r="G270" s="42" t="s">
        <v>2</v>
      </c>
      <c r="H270" s="42" t="s">
        <v>0</v>
      </c>
      <c r="I270" s="42" t="s">
        <v>0</v>
      </c>
      <c r="J270" s="43" t="s">
        <v>2</v>
      </c>
      <c r="K270" s="43" t="s">
        <v>2</v>
      </c>
      <c r="L270" s="42" t="s">
        <v>2</v>
      </c>
      <c r="M270" s="42" t="s">
        <v>2</v>
      </c>
      <c r="N270" s="42" t="s">
        <v>2</v>
      </c>
      <c r="O270" s="42" t="s">
        <v>0</v>
      </c>
      <c r="P270" s="42" t="s">
        <v>0</v>
      </c>
      <c r="Q270" s="43" t="s">
        <v>2</v>
      </c>
      <c r="R270" s="43" t="s">
        <v>2</v>
      </c>
      <c r="S270" s="43" t="s">
        <v>2</v>
      </c>
      <c r="T270" s="43" t="s">
        <v>2</v>
      </c>
      <c r="U270" s="43" t="s">
        <v>2</v>
      </c>
      <c r="V270" s="42" t="s">
        <v>0</v>
      </c>
      <c r="W270" s="42" t="s">
        <v>0</v>
      </c>
      <c r="X270" s="42" t="s">
        <v>31</v>
      </c>
      <c r="Y270" s="42" t="s">
        <v>31</v>
      </c>
      <c r="Z270" s="42" t="s">
        <v>2</v>
      </c>
      <c r="AA270" s="42" t="s">
        <v>2</v>
      </c>
      <c r="AB270" s="42" t="s">
        <v>2</v>
      </c>
      <c r="AC270" s="42" t="s">
        <v>0</v>
      </c>
      <c r="AD270" s="42" t="s">
        <v>0</v>
      </c>
      <c r="AE270" s="43" t="s">
        <v>2</v>
      </c>
      <c r="AF270" s="43" t="s">
        <v>2</v>
      </c>
      <c r="AG270" s="42" t="s">
        <v>2</v>
      </c>
      <c r="AH270" s="84" t="s">
        <v>2</v>
      </c>
      <c r="AI270" s="88">
        <f t="shared" ref="AI270:AI286" si="100">COUNTIF(D270:AH270,"V")</f>
        <v>2</v>
      </c>
      <c r="AJ270" s="60">
        <f t="shared" ref="AJ270:AJ286" si="101">B270-AI270</f>
        <v>1</v>
      </c>
    </row>
    <row r="271" spans="1:36" ht="15.75" thickBot="1" x14ac:dyDescent="0.3">
      <c r="A271" s="57" t="s">
        <v>16</v>
      </c>
      <c r="B271" s="206">
        <f t="shared" si="99"/>
        <v>2</v>
      </c>
      <c r="C271" s="257"/>
      <c r="D271" s="47" t="s">
        <v>2</v>
      </c>
      <c r="E271" s="30" t="s">
        <v>2</v>
      </c>
      <c r="F271" s="30" t="s">
        <v>2</v>
      </c>
      <c r="G271" s="30" t="s">
        <v>2</v>
      </c>
      <c r="H271" s="28" t="s">
        <v>0</v>
      </c>
      <c r="I271" s="28" t="s">
        <v>0</v>
      </c>
      <c r="J271" s="30" t="s">
        <v>2</v>
      </c>
      <c r="K271" s="30" t="s">
        <v>2</v>
      </c>
      <c r="L271" s="30" t="s">
        <v>2</v>
      </c>
      <c r="M271" s="30" t="s">
        <v>2</v>
      </c>
      <c r="N271" s="30" t="s">
        <v>2</v>
      </c>
      <c r="O271" s="28" t="s">
        <v>0</v>
      </c>
      <c r="P271" s="28" t="s">
        <v>0</v>
      </c>
      <c r="Q271" s="30" t="s">
        <v>2</v>
      </c>
      <c r="R271" s="30" t="s">
        <v>2</v>
      </c>
      <c r="S271" s="30" t="s">
        <v>2</v>
      </c>
      <c r="T271" s="30" t="s">
        <v>2</v>
      </c>
      <c r="U271" s="30" t="s">
        <v>2</v>
      </c>
      <c r="V271" s="28" t="s">
        <v>0</v>
      </c>
      <c r="W271" s="28" t="s">
        <v>0</v>
      </c>
      <c r="X271" s="30" t="s">
        <v>31</v>
      </c>
      <c r="Y271" s="30" t="s">
        <v>31</v>
      </c>
      <c r="Z271" s="30" t="s">
        <v>31</v>
      </c>
      <c r="AA271" s="30" t="s">
        <v>31</v>
      </c>
      <c r="AB271" s="30" t="s">
        <v>31</v>
      </c>
      <c r="AC271" s="28" t="s">
        <v>0</v>
      </c>
      <c r="AD271" s="28" t="s">
        <v>0</v>
      </c>
      <c r="AE271" s="30" t="s">
        <v>2</v>
      </c>
      <c r="AF271" s="30" t="s">
        <v>2</v>
      </c>
      <c r="AG271" s="30" t="s">
        <v>2</v>
      </c>
      <c r="AH271" s="86" t="s">
        <v>2</v>
      </c>
      <c r="AI271" s="76">
        <f t="shared" ref="AI271:AI275" si="102">COUNTIF(D271:AH271,"V")</f>
        <v>5</v>
      </c>
      <c r="AJ271" s="9">
        <f t="shared" ref="AJ271:AJ275" si="103">B271-AI271</f>
        <v>-3</v>
      </c>
    </row>
    <row r="272" spans="1:36" ht="15.75" thickBot="1" x14ac:dyDescent="0.3">
      <c r="A272" s="164" t="s">
        <v>36</v>
      </c>
      <c r="B272" s="206">
        <f t="shared" si="99"/>
        <v>15</v>
      </c>
      <c r="C272" s="257"/>
      <c r="D272" s="47" t="s">
        <v>2</v>
      </c>
      <c r="E272" s="30" t="s">
        <v>2</v>
      </c>
      <c r="F272" s="30" t="s">
        <v>2</v>
      </c>
      <c r="G272" s="30" t="s">
        <v>2</v>
      </c>
      <c r="H272" s="28" t="s">
        <v>0</v>
      </c>
      <c r="I272" s="28" t="s">
        <v>0</v>
      </c>
      <c r="J272" s="30" t="s">
        <v>2</v>
      </c>
      <c r="K272" s="30" t="s">
        <v>2</v>
      </c>
      <c r="L272" s="30" t="s">
        <v>2</v>
      </c>
      <c r="M272" s="30" t="s">
        <v>2</v>
      </c>
      <c r="N272" s="30" t="s">
        <v>31</v>
      </c>
      <c r="O272" s="28" t="s">
        <v>0</v>
      </c>
      <c r="P272" s="28" t="s">
        <v>0</v>
      </c>
      <c r="Q272" s="30" t="s">
        <v>31</v>
      </c>
      <c r="R272" s="30" t="s">
        <v>31</v>
      </c>
      <c r="S272" s="30" t="s">
        <v>31</v>
      </c>
      <c r="T272" s="30" t="s">
        <v>31</v>
      </c>
      <c r="U272" s="30" t="s">
        <v>31</v>
      </c>
      <c r="V272" s="28" t="s">
        <v>0</v>
      </c>
      <c r="W272" s="28" t="s">
        <v>0</v>
      </c>
      <c r="X272" s="30" t="s">
        <v>31</v>
      </c>
      <c r="Y272" s="30" t="s">
        <v>31</v>
      </c>
      <c r="Z272" s="30" t="s">
        <v>31</v>
      </c>
      <c r="AA272" s="30" t="s">
        <v>31</v>
      </c>
      <c r="AB272" s="30" t="s">
        <v>31</v>
      </c>
      <c r="AC272" s="28" t="s">
        <v>0</v>
      </c>
      <c r="AD272" s="28" t="s">
        <v>0</v>
      </c>
      <c r="AE272" s="30" t="s">
        <v>2</v>
      </c>
      <c r="AF272" s="30" t="s">
        <v>2</v>
      </c>
      <c r="AG272" s="30" t="s">
        <v>2</v>
      </c>
      <c r="AH272" s="86" t="s">
        <v>2</v>
      </c>
      <c r="AI272" s="76">
        <f t="shared" si="102"/>
        <v>11</v>
      </c>
      <c r="AJ272" s="9">
        <f t="shared" si="103"/>
        <v>4</v>
      </c>
    </row>
    <row r="273" spans="1:36" x14ac:dyDescent="0.25">
      <c r="A273" s="59" t="s">
        <v>17</v>
      </c>
      <c r="B273" s="207">
        <f t="shared" si="99"/>
        <v>6</v>
      </c>
      <c r="C273" s="257"/>
      <c r="D273" s="38" t="s">
        <v>0</v>
      </c>
      <c r="E273" s="35" t="s">
        <v>2</v>
      </c>
      <c r="F273" s="35" t="s">
        <v>2</v>
      </c>
      <c r="G273" s="35" t="s">
        <v>2</v>
      </c>
      <c r="H273" s="35" t="s">
        <v>2</v>
      </c>
      <c r="I273" s="35" t="s">
        <v>2</v>
      </c>
      <c r="J273" s="36" t="s">
        <v>0</v>
      </c>
      <c r="K273" s="36" t="s">
        <v>0</v>
      </c>
      <c r="L273" s="35" t="s">
        <v>2</v>
      </c>
      <c r="M273" s="35" t="s">
        <v>2</v>
      </c>
      <c r="N273" s="35" t="s">
        <v>2</v>
      </c>
      <c r="O273" s="35" t="s">
        <v>2</v>
      </c>
      <c r="P273" s="35" t="s">
        <v>2</v>
      </c>
      <c r="Q273" s="36" t="s">
        <v>0</v>
      </c>
      <c r="R273" s="36" t="s">
        <v>0</v>
      </c>
      <c r="S273" s="35" t="s">
        <v>2</v>
      </c>
      <c r="T273" s="35" t="s">
        <v>2</v>
      </c>
      <c r="U273" s="35" t="s">
        <v>2</v>
      </c>
      <c r="V273" s="35" t="s">
        <v>2</v>
      </c>
      <c r="W273" s="35" t="s">
        <v>2</v>
      </c>
      <c r="X273" s="36" t="s">
        <v>0</v>
      </c>
      <c r="Y273" s="36" t="s">
        <v>0</v>
      </c>
      <c r="Z273" s="35" t="s">
        <v>2</v>
      </c>
      <c r="AA273" s="35" t="s">
        <v>2</v>
      </c>
      <c r="AB273" s="35" t="s">
        <v>2</v>
      </c>
      <c r="AC273" s="35" t="s">
        <v>2</v>
      </c>
      <c r="AD273" s="35" t="s">
        <v>2</v>
      </c>
      <c r="AE273" s="36" t="s">
        <v>0</v>
      </c>
      <c r="AF273" s="36" t="s">
        <v>0</v>
      </c>
      <c r="AG273" s="35" t="s">
        <v>2</v>
      </c>
      <c r="AH273" s="87" t="s">
        <v>2</v>
      </c>
      <c r="AI273" s="76">
        <f t="shared" si="102"/>
        <v>0</v>
      </c>
      <c r="AJ273" s="9">
        <f t="shared" si="103"/>
        <v>6</v>
      </c>
    </row>
    <row r="274" spans="1:36" x14ac:dyDescent="0.25">
      <c r="A274" s="59" t="s">
        <v>18</v>
      </c>
      <c r="B274" s="207">
        <f t="shared" si="99"/>
        <v>4</v>
      </c>
      <c r="C274" s="257"/>
      <c r="D274" s="38" t="s">
        <v>0</v>
      </c>
      <c r="E274" s="35" t="s">
        <v>2</v>
      </c>
      <c r="F274" s="35" t="s">
        <v>2</v>
      </c>
      <c r="G274" s="35" t="s">
        <v>2</v>
      </c>
      <c r="H274" s="35" t="s">
        <v>2</v>
      </c>
      <c r="I274" s="35" t="s">
        <v>2</v>
      </c>
      <c r="J274" s="36" t="s">
        <v>0</v>
      </c>
      <c r="K274" s="36" t="s">
        <v>0</v>
      </c>
      <c r="L274" s="35" t="s">
        <v>2</v>
      </c>
      <c r="M274" s="35" t="s">
        <v>2</v>
      </c>
      <c r="N274" s="35" t="s">
        <v>2</v>
      </c>
      <c r="O274" s="35" t="s">
        <v>2</v>
      </c>
      <c r="P274" s="35" t="s">
        <v>2</v>
      </c>
      <c r="Q274" s="36" t="s">
        <v>0</v>
      </c>
      <c r="R274" s="36" t="s">
        <v>0</v>
      </c>
      <c r="S274" s="35" t="s">
        <v>2</v>
      </c>
      <c r="T274" s="35" t="s">
        <v>2</v>
      </c>
      <c r="U274" s="35" t="s">
        <v>2</v>
      </c>
      <c r="V274" s="35" t="s">
        <v>2</v>
      </c>
      <c r="W274" s="35" t="s">
        <v>2</v>
      </c>
      <c r="X274" s="36" t="s">
        <v>0</v>
      </c>
      <c r="Y274" s="36" t="s">
        <v>0</v>
      </c>
      <c r="Z274" s="35" t="s">
        <v>2</v>
      </c>
      <c r="AA274" s="35" t="s">
        <v>2</v>
      </c>
      <c r="AB274" s="35" t="s">
        <v>2</v>
      </c>
      <c r="AC274" s="35" t="s">
        <v>2</v>
      </c>
      <c r="AD274" s="35" t="s">
        <v>2</v>
      </c>
      <c r="AE274" s="36" t="s">
        <v>0</v>
      </c>
      <c r="AF274" s="36" t="s">
        <v>0</v>
      </c>
      <c r="AG274" s="35" t="s">
        <v>2</v>
      </c>
      <c r="AH274" s="87" t="s">
        <v>2</v>
      </c>
      <c r="AI274" s="76">
        <f t="shared" si="102"/>
        <v>0</v>
      </c>
      <c r="AJ274" s="9">
        <f t="shared" si="103"/>
        <v>4</v>
      </c>
    </row>
    <row r="275" spans="1:36" ht="15.75" thickBot="1" x14ac:dyDescent="0.3">
      <c r="A275" s="158" t="s">
        <v>37</v>
      </c>
      <c r="B275" s="208">
        <f t="shared" si="99"/>
        <v>8</v>
      </c>
      <c r="C275" s="257"/>
      <c r="D275" s="167" t="s">
        <v>0</v>
      </c>
      <c r="E275" s="117" t="s">
        <v>2</v>
      </c>
      <c r="F275" s="117" t="s">
        <v>2</v>
      </c>
      <c r="G275" s="117" t="s">
        <v>2</v>
      </c>
      <c r="H275" s="117" t="s">
        <v>2</v>
      </c>
      <c r="I275" s="117" t="s">
        <v>2</v>
      </c>
      <c r="J275" s="118" t="s">
        <v>0</v>
      </c>
      <c r="K275" s="118" t="s">
        <v>0</v>
      </c>
      <c r="L275" s="117" t="s">
        <v>2</v>
      </c>
      <c r="M275" s="117" t="s">
        <v>2</v>
      </c>
      <c r="N275" s="117" t="s">
        <v>2</v>
      </c>
      <c r="O275" s="117" t="s">
        <v>2</v>
      </c>
      <c r="P275" s="117" t="s">
        <v>2</v>
      </c>
      <c r="Q275" s="118" t="s">
        <v>0</v>
      </c>
      <c r="R275" s="118" t="s">
        <v>0</v>
      </c>
      <c r="S275" s="117" t="s">
        <v>2</v>
      </c>
      <c r="T275" s="117" t="s">
        <v>2</v>
      </c>
      <c r="U275" s="117" t="s">
        <v>2</v>
      </c>
      <c r="V275" s="117" t="s">
        <v>2</v>
      </c>
      <c r="W275" s="117" t="s">
        <v>2</v>
      </c>
      <c r="X275" s="118" t="s">
        <v>0</v>
      </c>
      <c r="Y275" s="118" t="s">
        <v>0</v>
      </c>
      <c r="Z275" s="117" t="s">
        <v>2</v>
      </c>
      <c r="AA275" s="117" t="s">
        <v>2</v>
      </c>
      <c r="AB275" s="117" t="s">
        <v>2</v>
      </c>
      <c r="AC275" s="117" t="s">
        <v>2</v>
      </c>
      <c r="AD275" s="117" t="s">
        <v>2</v>
      </c>
      <c r="AE275" s="118" t="s">
        <v>0</v>
      </c>
      <c r="AF275" s="118" t="s">
        <v>0</v>
      </c>
      <c r="AG275" s="117" t="s">
        <v>2</v>
      </c>
      <c r="AH275" s="197" t="s">
        <v>2</v>
      </c>
      <c r="AI275" s="76">
        <f t="shared" si="102"/>
        <v>0</v>
      </c>
      <c r="AJ275" s="9">
        <f t="shared" si="103"/>
        <v>8</v>
      </c>
    </row>
    <row r="276" spans="1:36" x14ac:dyDescent="0.25">
      <c r="A276" s="55" t="s">
        <v>15</v>
      </c>
      <c r="B276" s="209">
        <f t="shared" si="99"/>
        <v>0</v>
      </c>
      <c r="C276" s="257"/>
      <c r="D276" s="44" t="s">
        <v>2</v>
      </c>
      <c r="E276" s="42" t="s">
        <v>2</v>
      </c>
      <c r="F276" s="42" t="s">
        <v>2</v>
      </c>
      <c r="G276" s="42" t="s">
        <v>2</v>
      </c>
      <c r="H276" s="42" t="s">
        <v>2</v>
      </c>
      <c r="I276" s="43" t="s">
        <v>0</v>
      </c>
      <c r="J276" s="43" t="s">
        <v>0</v>
      </c>
      <c r="K276" s="42" t="s">
        <v>2</v>
      </c>
      <c r="L276" s="42" t="s">
        <v>2</v>
      </c>
      <c r="M276" s="42" t="s">
        <v>2</v>
      </c>
      <c r="N276" s="42" t="s">
        <v>2</v>
      </c>
      <c r="O276" s="42" t="s">
        <v>2</v>
      </c>
      <c r="P276" s="43" t="s">
        <v>0</v>
      </c>
      <c r="Q276" s="43" t="s">
        <v>0</v>
      </c>
      <c r="R276" s="42" t="s">
        <v>2</v>
      </c>
      <c r="S276" s="42" t="s">
        <v>2</v>
      </c>
      <c r="T276" s="42" t="s">
        <v>2</v>
      </c>
      <c r="U276" s="42" t="s">
        <v>2</v>
      </c>
      <c r="V276" s="42" t="s">
        <v>2</v>
      </c>
      <c r="W276" s="43" t="s">
        <v>0</v>
      </c>
      <c r="X276" s="43" t="s">
        <v>0</v>
      </c>
      <c r="Y276" s="42" t="s">
        <v>2</v>
      </c>
      <c r="Z276" s="42" t="s">
        <v>2</v>
      </c>
      <c r="AA276" s="42" t="s">
        <v>2</v>
      </c>
      <c r="AB276" s="42" t="s">
        <v>2</v>
      </c>
      <c r="AC276" s="42" t="s">
        <v>2</v>
      </c>
      <c r="AD276" s="43" t="s">
        <v>0</v>
      </c>
      <c r="AE276" s="43" t="s">
        <v>0</v>
      </c>
      <c r="AF276" s="42" t="s">
        <v>31</v>
      </c>
      <c r="AG276" s="42" t="s">
        <v>31</v>
      </c>
      <c r="AH276" s="84" t="s">
        <v>31</v>
      </c>
      <c r="AI276" s="76">
        <f t="shared" si="100"/>
        <v>3</v>
      </c>
      <c r="AJ276" s="9">
        <f t="shared" si="101"/>
        <v>-3</v>
      </c>
    </row>
    <row r="277" spans="1:36" ht="14.25" customHeight="1" x14ac:dyDescent="0.25">
      <c r="A277" s="52" t="s">
        <v>14</v>
      </c>
      <c r="B277" s="210">
        <f t="shared" si="99"/>
        <v>13</v>
      </c>
      <c r="C277" s="257"/>
      <c r="D277" s="50" t="s">
        <v>2</v>
      </c>
      <c r="E277" s="35" t="s">
        <v>2</v>
      </c>
      <c r="F277" s="35" t="s">
        <v>2</v>
      </c>
      <c r="G277" s="35" t="s">
        <v>2</v>
      </c>
      <c r="H277" s="35" t="s">
        <v>2</v>
      </c>
      <c r="I277" s="36" t="s">
        <v>0</v>
      </c>
      <c r="J277" s="36" t="s">
        <v>0</v>
      </c>
      <c r="K277" s="35" t="s">
        <v>2</v>
      </c>
      <c r="L277" s="35" t="s">
        <v>2</v>
      </c>
      <c r="M277" s="35" t="s">
        <v>2</v>
      </c>
      <c r="N277" s="35" t="s">
        <v>2</v>
      </c>
      <c r="O277" s="35" t="s">
        <v>2</v>
      </c>
      <c r="P277" s="36" t="s">
        <v>0</v>
      </c>
      <c r="Q277" s="36" t="s">
        <v>0</v>
      </c>
      <c r="R277" s="35" t="s">
        <v>2</v>
      </c>
      <c r="S277" s="35" t="s">
        <v>2</v>
      </c>
      <c r="T277" s="35" t="s">
        <v>2</v>
      </c>
      <c r="U277" s="35" t="s">
        <v>2</v>
      </c>
      <c r="V277" s="35" t="s">
        <v>31</v>
      </c>
      <c r="W277" s="36" t="s">
        <v>0</v>
      </c>
      <c r="X277" s="36" t="s">
        <v>0</v>
      </c>
      <c r="Y277" s="35" t="s">
        <v>31</v>
      </c>
      <c r="Z277" s="35" t="s">
        <v>31</v>
      </c>
      <c r="AA277" s="35" t="s">
        <v>31</v>
      </c>
      <c r="AB277" s="35" t="s">
        <v>2</v>
      </c>
      <c r="AC277" s="35" t="s">
        <v>2</v>
      </c>
      <c r="AD277" s="36" t="s">
        <v>0</v>
      </c>
      <c r="AE277" s="36" t="s">
        <v>0</v>
      </c>
      <c r="AF277" s="35" t="s">
        <v>2</v>
      </c>
      <c r="AG277" s="35" t="s">
        <v>2</v>
      </c>
      <c r="AH277" s="87" t="s">
        <v>2</v>
      </c>
      <c r="AI277" s="76">
        <f t="shared" si="100"/>
        <v>4</v>
      </c>
      <c r="AJ277" s="9">
        <f t="shared" si="101"/>
        <v>9</v>
      </c>
    </row>
    <row r="278" spans="1:36" x14ac:dyDescent="0.25">
      <c r="A278" s="52" t="s">
        <v>13</v>
      </c>
      <c r="B278" s="210">
        <f t="shared" si="99"/>
        <v>-2</v>
      </c>
      <c r="C278" s="257"/>
      <c r="D278" s="50" t="s">
        <v>2</v>
      </c>
      <c r="E278" s="35" t="s">
        <v>2</v>
      </c>
      <c r="F278" s="35" t="s">
        <v>2</v>
      </c>
      <c r="G278" s="35" t="s">
        <v>2</v>
      </c>
      <c r="H278" s="35" t="s">
        <v>2</v>
      </c>
      <c r="I278" s="36" t="s">
        <v>0</v>
      </c>
      <c r="J278" s="36" t="s">
        <v>0</v>
      </c>
      <c r="K278" s="35" t="s">
        <v>2</v>
      </c>
      <c r="L278" s="35" t="s">
        <v>2</v>
      </c>
      <c r="M278" s="35" t="s">
        <v>2</v>
      </c>
      <c r="N278" s="35" t="s">
        <v>2</v>
      </c>
      <c r="O278" s="35" t="s">
        <v>2</v>
      </c>
      <c r="P278" s="36" t="s">
        <v>0</v>
      </c>
      <c r="Q278" s="36" t="s">
        <v>0</v>
      </c>
      <c r="R278" s="35" t="s">
        <v>2</v>
      </c>
      <c r="S278" s="35" t="s">
        <v>2</v>
      </c>
      <c r="T278" s="35" t="s">
        <v>2</v>
      </c>
      <c r="U278" s="35" t="s">
        <v>2</v>
      </c>
      <c r="V278" s="35" t="s">
        <v>2</v>
      </c>
      <c r="W278" s="36" t="s">
        <v>0</v>
      </c>
      <c r="X278" s="36" t="s">
        <v>0</v>
      </c>
      <c r="Y278" s="35" t="s">
        <v>2</v>
      </c>
      <c r="Z278" s="35" t="s">
        <v>2</v>
      </c>
      <c r="AA278" s="35" t="s">
        <v>2</v>
      </c>
      <c r="AB278" s="35" t="s">
        <v>31</v>
      </c>
      <c r="AC278" s="35" t="s">
        <v>31</v>
      </c>
      <c r="AD278" s="36" t="s">
        <v>0</v>
      </c>
      <c r="AE278" s="36" t="s">
        <v>0</v>
      </c>
      <c r="AF278" s="35" t="s">
        <v>31</v>
      </c>
      <c r="AG278" s="35" t="s">
        <v>31</v>
      </c>
      <c r="AH278" s="87" t="s">
        <v>31</v>
      </c>
      <c r="AI278" s="76">
        <f t="shared" si="100"/>
        <v>5</v>
      </c>
      <c r="AJ278" s="9">
        <f t="shared" si="101"/>
        <v>-7</v>
      </c>
    </row>
    <row r="279" spans="1:36" ht="15.75" thickBot="1" x14ac:dyDescent="0.3">
      <c r="A279" s="49" t="s">
        <v>6</v>
      </c>
      <c r="B279" s="211">
        <f t="shared" si="99"/>
        <v>19</v>
      </c>
      <c r="C279" s="257"/>
      <c r="D279" s="50" t="s">
        <v>2</v>
      </c>
      <c r="E279" s="35" t="s">
        <v>2</v>
      </c>
      <c r="F279" s="35" t="s">
        <v>2</v>
      </c>
      <c r="G279" s="35" t="s">
        <v>2</v>
      </c>
      <c r="H279" s="35" t="s">
        <v>2</v>
      </c>
      <c r="I279" s="36" t="s">
        <v>0</v>
      </c>
      <c r="J279" s="36" t="s">
        <v>0</v>
      </c>
      <c r="K279" s="50" t="s">
        <v>2</v>
      </c>
      <c r="L279" s="35" t="s">
        <v>2</v>
      </c>
      <c r="M279" s="35" t="s">
        <v>2</v>
      </c>
      <c r="N279" s="35" t="s">
        <v>2</v>
      </c>
      <c r="O279" s="35" t="s">
        <v>2</v>
      </c>
      <c r="P279" s="36" t="s">
        <v>0</v>
      </c>
      <c r="Q279" s="36" t="s">
        <v>0</v>
      </c>
      <c r="R279" s="50" t="s">
        <v>2</v>
      </c>
      <c r="S279" s="35" t="s">
        <v>2</v>
      </c>
      <c r="T279" s="35" t="s">
        <v>2</v>
      </c>
      <c r="U279" s="35" t="s">
        <v>2</v>
      </c>
      <c r="V279" s="35" t="s">
        <v>2</v>
      </c>
      <c r="W279" s="36" t="s">
        <v>0</v>
      </c>
      <c r="X279" s="36" t="s">
        <v>0</v>
      </c>
      <c r="Y279" s="50" t="s">
        <v>2</v>
      </c>
      <c r="Z279" s="35" t="s">
        <v>2</v>
      </c>
      <c r="AA279" s="35" t="s">
        <v>2</v>
      </c>
      <c r="AB279" s="35" t="s">
        <v>31</v>
      </c>
      <c r="AC279" s="35" t="s">
        <v>31</v>
      </c>
      <c r="AD279" s="36" t="s">
        <v>0</v>
      </c>
      <c r="AE279" s="36" t="s">
        <v>0</v>
      </c>
      <c r="AF279" s="50" t="s">
        <v>2</v>
      </c>
      <c r="AG279" s="35" t="s">
        <v>2</v>
      </c>
      <c r="AH279" s="35" t="s">
        <v>2</v>
      </c>
      <c r="AI279" s="76">
        <f t="shared" ref="AI279" si="104">COUNTIF(D279:AH279,"V")</f>
        <v>2</v>
      </c>
      <c r="AJ279" s="9">
        <f t="shared" ref="AJ279" si="105">B279-AI279</f>
        <v>17</v>
      </c>
    </row>
    <row r="280" spans="1:36" x14ac:dyDescent="0.25">
      <c r="A280" s="40" t="s">
        <v>11</v>
      </c>
      <c r="B280" s="212">
        <f t="shared" si="99"/>
        <v>8</v>
      </c>
      <c r="C280" s="257"/>
      <c r="D280" s="198" t="s">
        <v>1</v>
      </c>
      <c r="E280" s="199" t="s">
        <v>1</v>
      </c>
      <c r="F280" s="122" t="s">
        <v>0</v>
      </c>
      <c r="G280" s="122" t="s">
        <v>0</v>
      </c>
      <c r="H280" s="122" t="s">
        <v>0</v>
      </c>
      <c r="I280" s="121" t="s">
        <v>2</v>
      </c>
      <c r="J280" s="121" t="s">
        <v>2</v>
      </c>
      <c r="K280" s="121" t="s">
        <v>2</v>
      </c>
      <c r="L280" s="199" t="s">
        <v>1</v>
      </c>
      <c r="M280" s="199" t="s">
        <v>1</v>
      </c>
      <c r="N280" s="199" t="s">
        <v>1</v>
      </c>
      <c r="O280" s="122" t="s">
        <v>0</v>
      </c>
      <c r="P280" s="122" t="s">
        <v>0</v>
      </c>
      <c r="Q280" s="122" t="s">
        <v>0</v>
      </c>
      <c r="R280" s="121" t="s">
        <v>2</v>
      </c>
      <c r="S280" s="121" t="s">
        <v>2</v>
      </c>
      <c r="T280" s="121" t="s">
        <v>2</v>
      </c>
      <c r="U280" s="204" t="s">
        <v>31</v>
      </c>
      <c r="V280" s="204" t="s">
        <v>31</v>
      </c>
      <c r="W280" s="204" t="s">
        <v>31</v>
      </c>
      <c r="X280" s="122" t="s">
        <v>0</v>
      </c>
      <c r="Y280" s="122" t="s">
        <v>0</v>
      </c>
      <c r="Z280" s="122" t="s">
        <v>0</v>
      </c>
      <c r="AA280" s="121" t="s">
        <v>2</v>
      </c>
      <c r="AB280" s="121" t="s">
        <v>2</v>
      </c>
      <c r="AC280" s="121" t="s">
        <v>2</v>
      </c>
      <c r="AD280" s="199" t="s">
        <v>1</v>
      </c>
      <c r="AE280" s="199" t="s">
        <v>1</v>
      </c>
      <c r="AF280" s="199" t="s">
        <v>1</v>
      </c>
      <c r="AG280" s="122" t="s">
        <v>0</v>
      </c>
      <c r="AH280" s="171" t="s">
        <v>0</v>
      </c>
      <c r="AI280" s="76">
        <f t="shared" si="100"/>
        <v>3</v>
      </c>
      <c r="AJ280" s="9">
        <f t="shared" si="101"/>
        <v>5</v>
      </c>
    </row>
    <row r="281" spans="1:36" ht="15.75" thickBot="1" x14ac:dyDescent="0.3">
      <c r="A281" s="193" t="s">
        <v>10</v>
      </c>
      <c r="B281" s="213">
        <f t="shared" si="99"/>
        <v>3</v>
      </c>
      <c r="C281" s="257"/>
      <c r="D281" s="47" t="s">
        <v>2</v>
      </c>
      <c r="E281" s="30" t="s">
        <v>2</v>
      </c>
      <c r="F281" s="29" t="s">
        <v>1</v>
      </c>
      <c r="G281" s="29" t="s">
        <v>1</v>
      </c>
      <c r="H281" s="29" t="s">
        <v>1</v>
      </c>
      <c r="I281" s="28" t="s">
        <v>0</v>
      </c>
      <c r="J281" s="28" t="s">
        <v>0</v>
      </c>
      <c r="K281" s="28" t="s">
        <v>0</v>
      </c>
      <c r="L281" s="30" t="s">
        <v>2</v>
      </c>
      <c r="M281" s="30" t="s">
        <v>2</v>
      </c>
      <c r="N281" s="30" t="s">
        <v>2</v>
      </c>
      <c r="O281" s="29" t="s">
        <v>1</v>
      </c>
      <c r="P281" s="29" t="s">
        <v>1</v>
      </c>
      <c r="Q281" s="29" t="s">
        <v>1</v>
      </c>
      <c r="R281" s="28" t="s">
        <v>0</v>
      </c>
      <c r="S281" s="28" t="s">
        <v>0</v>
      </c>
      <c r="T281" s="28" t="s">
        <v>0</v>
      </c>
      <c r="U281" s="30" t="s">
        <v>2</v>
      </c>
      <c r="V281" s="30" t="s">
        <v>2</v>
      </c>
      <c r="W281" s="30" t="s">
        <v>2</v>
      </c>
      <c r="X281" s="29" t="s">
        <v>1</v>
      </c>
      <c r="Y281" s="29" t="s">
        <v>1</v>
      </c>
      <c r="Z281" s="29" t="s">
        <v>1</v>
      </c>
      <c r="AA281" s="28" t="s">
        <v>0</v>
      </c>
      <c r="AB281" s="28" t="s">
        <v>0</v>
      </c>
      <c r="AC281" s="28" t="s">
        <v>0</v>
      </c>
      <c r="AD281" s="30" t="s">
        <v>2</v>
      </c>
      <c r="AE281" s="30" t="s">
        <v>2</v>
      </c>
      <c r="AF281" s="30" t="s">
        <v>2</v>
      </c>
      <c r="AG281" s="29" t="s">
        <v>1</v>
      </c>
      <c r="AH281" s="81" t="s">
        <v>1</v>
      </c>
      <c r="AI281" s="76">
        <f t="shared" si="100"/>
        <v>0</v>
      </c>
      <c r="AJ281" s="9">
        <f t="shared" si="101"/>
        <v>3</v>
      </c>
    </row>
    <row r="282" spans="1:36" ht="15.75" thickBot="1" x14ac:dyDescent="0.3">
      <c r="A282" s="219" t="s">
        <v>7</v>
      </c>
      <c r="B282" s="220">
        <f t="shared" si="99"/>
        <v>29</v>
      </c>
      <c r="C282" s="257"/>
      <c r="D282" s="180" t="s">
        <v>2</v>
      </c>
      <c r="E282" s="176" t="s">
        <v>2</v>
      </c>
      <c r="F282" s="176" t="s">
        <v>2</v>
      </c>
      <c r="G282" s="176" t="s">
        <v>2</v>
      </c>
      <c r="H282" s="176" t="s">
        <v>0</v>
      </c>
      <c r="I282" s="176" t="s">
        <v>0</v>
      </c>
      <c r="J282" s="176" t="s">
        <v>2</v>
      </c>
      <c r="K282" s="176" t="s">
        <v>2</v>
      </c>
      <c r="L282" s="176" t="s">
        <v>2</v>
      </c>
      <c r="M282" s="176" t="s">
        <v>2</v>
      </c>
      <c r="N282" s="176" t="s">
        <v>2</v>
      </c>
      <c r="O282" s="176" t="s">
        <v>0</v>
      </c>
      <c r="P282" s="176" t="s">
        <v>0</v>
      </c>
      <c r="Q282" s="176" t="s">
        <v>2</v>
      </c>
      <c r="R282" s="176" t="s">
        <v>2</v>
      </c>
      <c r="S282" s="176" t="s">
        <v>2</v>
      </c>
      <c r="T282" s="176" t="s">
        <v>2</v>
      </c>
      <c r="U282" s="176" t="s">
        <v>2</v>
      </c>
      <c r="V282" s="176" t="s">
        <v>0</v>
      </c>
      <c r="W282" s="176" t="s">
        <v>0</v>
      </c>
      <c r="X282" s="176" t="s">
        <v>2</v>
      </c>
      <c r="Y282" s="176" t="s">
        <v>2</v>
      </c>
      <c r="Z282" s="176" t="s">
        <v>2</v>
      </c>
      <c r="AA282" s="176" t="s">
        <v>2</v>
      </c>
      <c r="AB282" s="176" t="s">
        <v>2</v>
      </c>
      <c r="AC282" s="176" t="s">
        <v>0</v>
      </c>
      <c r="AD282" s="176" t="s">
        <v>0</v>
      </c>
      <c r="AE282" s="176" t="s">
        <v>2</v>
      </c>
      <c r="AF282" s="176" t="s">
        <v>2</v>
      </c>
      <c r="AG282" s="176" t="s">
        <v>2</v>
      </c>
      <c r="AH282" s="195" t="s">
        <v>2</v>
      </c>
      <c r="AI282" s="76">
        <f t="shared" si="100"/>
        <v>0</v>
      </c>
      <c r="AJ282" s="9">
        <f t="shared" si="101"/>
        <v>29</v>
      </c>
    </row>
    <row r="283" spans="1:36" x14ac:dyDescent="0.25">
      <c r="A283" s="26" t="s">
        <v>9</v>
      </c>
      <c r="B283" s="25">
        <f t="shared" si="99"/>
        <v>19</v>
      </c>
      <c r="C283" s="258"/>
      <c r="D283" s="80" t="s">
        <v>2</v>
      </c>
      <c r="E283" s="22" t="s">
        <v>2</v>
      </c>
      <c r="F283" s="22" t="s">
        <v>2</v>
      </c>
      <c r="G283" s="22" t="s">
        <v>2</v>
      </c>
      <c r="H283" s="22" t="s">
        <v>2</v>
      </c>
      <c r="I283" s="23" t="s">
        <v>0</v>
      </c>
      <c r="J283" s="23" t="s">
        <v>0</v>
      </c>
      <c r="K283" s="23" t="s">
        <v>2</v>
      </c>
      <c r="L283" s="23" t="s">
        <v>2</v>
      </c>
      <c r="M283" s="23" t="s">
        <v>2</v>
      </c>
      <c r="N283" s="23" t="s">
        <v>2</v>
      </c>
      <c r="O283" s="23" t="s">
        <v>2</v>
      </c>
      <c r="P283" s="22" t="s">
        <v>0</v>
      </c>
      <c r="Q283" s="22" t="s">
        <v>0</v>
      </c>
      <c r="R283" s="23" t="s">
        <v>31</v>
      </c>
      <c r="S283" s="23" t="s">
        <v>31</v>
      </c>
      <c r="T283" s="23" t="s">
        <v>31</v>
      </c>
      <c r="U283" s="23" t="s">
        <v>31</v>
      </c>
      <c r="V283" s="23" t="s">
        <v>31</v>
      </c>
      <c r="W283" s="23" t="s">
        <v>31</v>
      </c>
      <c r="X283" s="23" t="s">
        <v>31</v>
      </c>
      <c r="Y283" s="23" t="s">
        <v>2</v>
      </c>
      <c r="Z283" s="23" t="s">
        <v>2</v>
      </c>
      <c r="AA283" s="23" t="s">
        <v>2</v>
      </c>
      <c r="AB283" s="23" t="s">
        <v>2</v>
      </c>
      <c r="AC283" s="23" t="s">
        <v>2</v>
      </c>
      <c r="AD283" s="23" t="s">
        <v>0</v>
      </c>
      <c r="AE283" s="23" t="s">
        <v>0</v>
      </c>
      <c r="AF283" s="22" t="s">
        <v>2</v>
      </c>
      <c r="AG283" s="22" t="s">
        <v>2</v>
      </c>
      <c r="AH283" s="79" t="s">
        <v>2</v>
      </c>
      <c r="AI283" s="76">
        <f t="shared" si="100"/>
        <v>7</v>
      </c>
      <c r="AJ283" s="9">
        <f t="shared" si="101"/>
        <v>12</v>
      </c>
    </row>
    <row r="284" spans="1:36" x14ac:dyDescent="0.25">
      <c r="A284" s="16" t="s">
        <v>4</v>
      </c>
      <c r="B284" s="15">
        <f t="shared" si="99"/>
        <v>9</v>
      </c>
      <c r="C284" s="258"/>
      <c r="D284" s="14" t="s">
        <v>0</v>
      </c>
      <c r="E284" s="13" t="s">
        <v>2</v>
      </c>
      <c r="F284" s="13" t="s">
        <v>2</v>
      </c>
      <c r="G284" s="13" t="s">
        <v>2</v>
      </c>
      <c r="H284" s="13" t="s">
        <v>2</v>
      </c>
      <c r="I284" s="13" t="s">
        <v>2</v>
      </c>
      <c r="J284" s="13" t="s">
        <v>0</v>
      </c>
      <c r="K284" s="12" t="s">
        <v>0</v>
      </c>
      <c r="L284" s="13" t="s">
        <v>2</v>
      </c>
      <c r="M284" s="13" t="s">
        <v>2</v>
      </c>
      <c r="N284" s="13" t="s">
        <v>2</v>
      </c>
      <c r="O284" s="13" t="s">
        <v>2</v>
      </c>
      <c r="P284" s="13" t="s">
        <v>2</v>
      </c>
      <c r="Q284" s="13" t="s">
        <v>0</v>
      </c>
      <c r="R284" s="12" t="s">
        <v>0</v>
      </c>
      <c r="S284" s="13" t="s">
        <v>2</v>
      </c>
      <c r="T284" s="13" t="s">
        <v>2</v>
      </c>
      <c r="U284" s="13" t="s">
        <v>2</v>
      </c>
      <c r="V284" s="13" t="s">
        <v>2</v>
      </c>
      <c r="W284" s="13" t="s">
        <v>2</v>
      </c>
      <c r="X284" s="13" t="s">
        <v>0</v>
      </c>
      <c r="Y284" s="12" t="s">
        <v>0</v>
      </c>
      <c r="Z284" s="13" t="s">
        <v>2</v>
      </c>
      <c r="AA284" s="13" t="s">
        <v>2</v>
      </c>
      <c r="AB284" s="13" t="s">
        <v>2</v>
      </c>
      <c r="AC284" s="13" t="s">
        <v>2</v>
      </c>
      <c r="AD284" s="13" t="s">
        <v>2</v>
      </c>
      <c r="AE284" s="13" t="s">
        <v>0</v>
      </c>
      <c r="AF284" s="12" t="s">
        <v>0</v>
      </c>
      <c r="AG284" s="13" t="s">
        <v>2</v>
      </c>
      <c r="AH284" s="13" t="s">
        <v>2</v>
      </c>
      <c r="AI284" s="76">
        <f t="shared" ref="AI284" si="106">COUNTIF(D284:AH284,"V")</f>
        <v>0</v>
      </c>
      <c r="AJ284" s="9">
        <f t="shared" ref="AJ284" si="107">B284-AI284</f>
        <v>9</v>
      </c>
    </row>
    <row r="285" spans="1:36" x14ac:dyDescent="0.25">
      <c r="A285" s="16" t="s">
        <v>8</v>
      </c>
      <c r="B285" s="15">
        <f t="shared" si="99"/>
        <v>16</v>
      </c>
      <c r="C285" s="258"/>
      <c r="D285" s="14" t="s">
        <v>0</v>
      </c>
      <c r="E285" s="13" t="s">
        <v>0</v>
      </c>
      <c r="F285" s="13" t="s">
        <v>2</v>
      </c>
      <c r="G285" s="13" t="s">
        <v>2</v>
      </c>
      <c r="H285" s="13" t="s">
        <v>2</v>
      </c>
      <c r="I285" s="13" t="s">
        <v>2</v>
      </c>
      <c r="J285" s="13" t="s">
        <v>2</v>
      </c>
      <c r="K285" s="13" t="s">
        <v>2</v>
      </c>
      <c r="L285" s="13" t="s">
        <v>0</v>
      </c>
      <c r="M285" s="13" t="s">
        <v>0</v>
      </c>
      <c r="N285" s="13" t="s">
        <v>0</v>
      </c>
      <c r="O285" s="13" t="s">
        <v>1</v>
      </c>
      <c r="P285" s="13" t="s">
        <v>31</v>
      </c>
      <c r="Q285" s="13" t="s">
        <v>31</v>
      </c>
      <c r="R285" s="13" t="s">
        <v>31</v>
      </c>
      <c r="S285" s="13" t="s">
        <v>31</v>
      </c>
      <c r="T285" s="13" t="s">
        <v>31</v>
      </c>
      <c r="U285" s="13" t="s">
        <v>31</v>
      </c>
      <c r="V285" s="13" t="s">
        <v>31</v>
      </c>
      <c r="W285" s="13" t="s">
        <v>31</v>
      </c>
      <c r="X285" s="13" t="s">
        <v>31</v>
      </c>
      <c r="Y285" s="13" t="s">
        <v>31</v>
      </c>
      <c r="Z285" s="13" t="s">
        <v>31</v>
      </c>
      <c r="AA285" s="13" t="s">
        <v>31</v>
      </c>
      <c r="AB285" s="13" t="s">
        <v>31</v>
      </c>
      <c r="AC285" s="13" t="s">
        <v>31</v>
      </c>
      <c r="AD285" s="13" t="s">
        <v>0</v>
      </c>
      <c r="AE285" s="13" t="s">
        <v>0</v>
      </c>
      <c r="AF285" s="13" t="s">
        <v>0</v>
      </c>
      <c r="AG285" s="13" t="s">
        <v>1</v>
      </c>
      <c r="AH285" s="77" t="s">
        <v>1</v>
      </c>
      <c r="AI285" s="76">
        <f t="shared" si="100"/>
        <v>14</v>
      </c>
      <c r="AJ285" s="9">
        <f t="shared" si="101"/>
        <v>2</v>
      </c>
    </row>
    <row r="286" spans="1:36" x14ac:dyDescent="0.25">
      <c r="A286" s="16" t="s">
        <v>33</v>
      </c>
      <c r="B286" s="15">
        <f t="shared" si="99"/>
        <v>9</v>
      </c>
      <c r="C286" s="258"/>
      <c r="D286" s="14" t="s">
        <v>0</v>
      </c>
      <c r="E286" s="13" t="s">
        <v>0</v>
      </c>
      <c r="F286" s="13" t="s">
        <v>1</v>
      </c>
      <c r="G286" s="13" t="s">
        <v>1</v>
      </c>
      <c r="H286" s="13" t="s">
        <v>1</v>
      </c>
      <c r="I286" s="13" t="s">
        <v>1</v>
      </c>
      <c r="J286" s="13" t="s">
        <v>1</v>
      </c>
      <c r="K286" s="13" t="s">
        <v>1</v>
      </c>
      <c r="L286" s="13" t="s">
        <v>0</v>
      </c>
      <c r="M286" s="13" t="s">
        <v>0</v>
      </c>
      <c r="N286" s="13" t="s">
        <v>0</v>
      </c>
      <c r="O286" s="13" t="s">
        <v>2</v>
      </c>
      <c r="P286" s="13" t="s">
        <v>2</v>
      </c>
      <c r="Q286" s="13" t="s">
        <v>2</v>
      </c>
      <c r="R286" s="13" t="s">
        <v>2</v>
      </c>
      <c r="S286" s="13" t="s">
        <v>2</v>
      </c>
      <c r="T286" s="13" t="s">
        <v>2</v>
      </c>
      <c r="U286" s="17" t="s">
        <v>0</v>
      </c>
      <c r="V286" s="17" t="s">
        <v>0</v>
      </c>
      <c r="W286" s="17" t="s">
        <v>0</v>
      </c>
      <c r="X286" s="13" t="s">
        <v>1</v>
      </c>
      <c r="Y286" s="13" t="s">
        <v>1</v>
      </c>
      <c r="Z286" s="13" t="s">
        <v>1</v>
      </c>
      <c r="AA286" s="13" t="s">
        <v>1</v>
      </c>
      <c r="AB286" s="13" t="s">
        <v>1</v>
      </c>
      <c r="AC286" s="13" t="s">
        <v>1</v>
      </c>
      <c r="AD286" s="13" t="s">
        <v>0</v>
      </c>
      <c r="AE286" s="13" t="s">
        <v>0</v>
      </c>
      <c r="AF286" s="13" t="s">
        <v>0</v>
      </c>
      <c r="AG286" s="13" t="s">
        <v>2</v>
      </c>
      <c r="AH286" s="78" t="s">
        <v>2</v>
      </c>
      <c r="AI286" s="76">
        <f t="shared" si="100"/>
        <v>0</v>
      </c>
      <c r="AJ286" s="9">
        <f t="shared" si="101"/>
        <v>9</v>
      </c>
    </row>
    <row r="287" spans="1:36" x14ac:dyDescent="0.25">
      <c r="A287" s="16" t="s">
        <v>44</v>
      </c>
      <c r="B287" s="15">
        <f>AJ261</f>
        <v>7</v>
      </c>
      <c r="C287" s="258"/>
      <c r="D287" s="14" t="s">
        <v>0</v>
      </c>
      <c r="E287" s="13" t="s">
        <v>0</v>
      </c>
      <c r="F287" s="13" t="s">
        <v>1</v>
      </c>
      <c r="G287" s="13" t="s">
        <v>1</v>
      </c>
      <c r="H287" s="13" t="s">
        <v>1</v>
      </c>
      <c r="I287" s="13" t="s">
        <v>1</v>
      </c>
      <c r="J287" s="13" t="s">
        <v>31</v>
      </c>
      <c r="K287" s="13" t="s">
        <v>1</v>
      </c>
      <c r="L287" s="13" t="s">
        <v>0</v>
      </c>
      <c r="M287" s="13" t="s">
        <v>0</v>
      </c>
      <c r="N287" s="13" t="s">
        <v>0</v>
      </c>
      <c r="O287" s="13" t="s">
        <v>2</v>
      </c>
      <c r="P287" s="13" t="s">
        <v>2</v>
      </c>
      <c r="Q287" s="13" t="s">
        <v>31</v>
      </c>
      <c r="R287" s="13" t="s">
        <v>2</v>
      </c>
      <c r="S287" s="13" t="s">
        <v>2</v>
      </c>
      <c r="T287" s="13" t="s">
        <v>2</v>
      </c>
      <c r="U287" s="17" t="s">
        <v>0</v>
      </c>
      <c r="V287" s="17" t="s">
        <v>0</v>
      </c>
      <c r="W287" s="17" t="s">
        <v>0</v>
      </c>
      <c r="X287" s="13" t="s">
        <v>31</v>
      </c>
      <c r="Y287" s="13" t="s">
        <v>1</v>
      </c>
      <c r="Z287" s="13" t="s">
        <v>1</v>
      </c>
      <c r="AA287" s="13" t="s">
        <v>1</v>
      </c>
      <c r="AB287" s="13" t="s">
        <v>1</v>
      </c>
      <c r="AC287" s="13" t="s">
        <v>1</v>
      </c>
      <c r="AD287" s="13" t="s">
        <v>0</v>
      </c>
      <c r="AE287" s="13" t="s">
        <v>0</v>
      </c>
      <c r="AF287" s="13" t="s">
        <v>0</v>
      </c>
      <c r="AG287" s="13" t="s">
        <v>31</v>
      </c>
      <c r="AH287" s="78" t="s">
        <v>31</v>
      </c>
      <c r="AI287" s="76">
        <f t="shared" ref="AI287:AI292" si="108">COUNTIF(D287:AH287,"V")</f>
        <v>5</v>
      </c>
      <c r="AJ287" s="9">
        <f t="shared" ref="AJ287:AJ292" si="109">B287-AI287</f>
        <v>2</v>
      </c>
    </row>
    <row r="288" spans="1:36" x14ac:dyDescent="0.25">
      <c r="A288" s="16" t="s">
        <v>5</v>
      </c>
      <c r="B288" s="15">
        <f>AJ262</f>
        <v>13</v>
      </c>
      <c r="C288" s="258"/>
      <c r="D288" s="14" t="s">
        <v>2</v>
      </c>
      <c r="E288" s="13" t="s">
        <v>2</v>
      </c>
      <c r="F288" s="13" t="s">
        <v>0</v>
      </c>
      <c r="G288" s="17" t="s">
        <v>0</v>
      </c>
      <c r="H288" s="17" t="s">
        <v>0</v>
      </c>
      <c r="I288" s="12" t="s">
        <v>1</v>
      </c>
      <c r="J288" s="12" t="s">
        <v>1</v>
      </c>
      <c r="K288" s="12" t="s">
        <v>1</v>
      </c>
      <c r="L288" s="12" t="s">
        <v>1</v>
      </c>
      <c r="M288" s="12" t="s">
        <v>1</v>
      </c>
      <c r="N288" s="12" t="s">
        <v>1</v>
      </c>
      <c r="O288" s="17" t="s">
        <v>0</v>
      </c>
      <c r="P288" s="17" t="s">
        <v>0</v>
      </c>
      <c r="Q288" s="17" t="s">
        <v>0</v>
      </c>
      <c r="R288" s="13" t="s">
        <v>2</v>
      </c>
      <c r="S288" s="13" t="s">
        <v>2</v>
      </c>
      <c r="T288" s="13" t="s">
        <v>2</v>
      </c>
      <c r="U288" s="13" t="s">
        <v>2</v>
      </c>
      <c r="V288" s="13" t="s">
        <v>2</v>
      </c>
      <c r="W288" s="13" t="s">
        <v>2</v>
      </c>
      <c r="X288" s="12" t="s">
        <v>0</v>
      </c>
      <c r="Y288" s="12" t="s">
        <v>0</v>
      </c>
      <c r="Z288" s="12" t="s">
        <v>0</v>
      </c>
      <c r="AA288" s="12" t="s">
        <v>48</v>
      </c>
      <c r="AB288" s="12" t="s">
        <v>31</v>
      </c>
      <c r="AC288" s="12" t="s">
        <v>31</v>
      </c>
      <c r="AD288" s="12" t="s">
        <v>31</v>
      </c>
      <c r="AE288" s="12" t="s">
        <v>1</v>
      </c>
      <c r="AF288" s="12" t="s">
        <v>1</v>
      </c>
      <c r="AG288" s="17" t="s">
        <v>0</v>
      </c>
      <c r="AH288" s="78" t="s">
        <v>0</v>
      </c>
      <c r="AI288" s="76">
        <f t="shared" si="108"/>
        <v>3</v>
      </c>
      <c r="AJ288" s="9">
        <f t="shared" si="109"/>
        <v>10</v>
      </c>
    </row>
    <row r="289" spans="1:36" x14ac:dyDescent="0.25">
      <c r="A289" s="16" t="s">
        <v>43</v>
      </c>
      <c r="B289" s="15"/>
      <c r="C289" s="258"/>
      <c r="D289" s="14" t="s">
        <v>1</v>
      </c>
      <c r="E289" s="13" t="s">
        <v>1</v>
      </c>
      <c r="F289" s="13" t="s">
        <v>0</v>
      </c>
      <c r="G289" s="17" t="s">
        <v>0</v>
      </c>
      <c r="H289" s="17" t="s">
        <v>0</v>
      </c>
      <c r="I289" s="13" t="s">
        <v>2</v>
      </c>
      <c r="J289" s="13" t="s">
        <v>2</v>
      </c>
      <c r="K289" s="13" t="s">
        <v>2</v>
      </c>
      <c r="L289" s="13" t="s">
        <v>2</v>
      </c>
      <c r="M289" s="13" t="s">
        <v>2</v>
      </c>
      <c r="N289" s="13" t="s">
        <v>2</v>
      </c>
      <c r="O289" s="17" t="s">
        <v>0</v>
      </c>
      <c r="P289" s="17" t="s">
        <v>0</v>
      </c>
      <c r="Q289" s="17" t="s">
        <v>0</v>
      </c>
      <c r="R289" s="13" t="s">
        <v>1</v>
      </c>
      <c r="S289" s="13" t="s">
        <v>1</v>
      </c>
      <c r="T289" s="13" t="s">
        <v>1</v>
      </c>
      <c r="U289" s="13" t="s">
        <v>1</v>
      </c>
      <c r="V289" s="13" t="s">
        <v>1</v>
      </c>
      <c r="W289" s="13" t="s">
        <v>1</v>
      </c>
      <c r="X289" s="12" t="s">
        <v>0</v>
      </c>
      <c r="Y289" s="12" t="s">
        <v>0</v>
      </c>
      <c r="Z289" s="12" t="s">
        <v>0</v>
      </c>
      <c r="AA289" s="13" t="s">
        <v>2</v>
      </c>
      <c r="AB289" s="13" t="s">
        <v>2</v>
      </c>
      <c r="AC289" s="13" t="s">
        <v>2</v>
      </c>
      <c r="AD289" s="13" t="s">
        <v>2</v>
      </c>
      <c r="AE289" s="13" t="s">
        <v>2</v>
      </c>
      <c r="AF289" s="13" t="s">
        <v>2</v>
      </c>
      <c r="AG289" s="17" t="s">
        <v>0</v>
      </c>
      <c r="AH289" s="78" t="s">
        <v>0</v>
      </c>
      <c r="AI289" s="76">
        <f t="shared" si="108"/>
        <v>0</v>
      </c>
      <c r="AJ289" s="9">
        <f t="shared" si="109"/>
        <v>0</v>
      </c>
    </row>
    <row r="290" spans="1:36" x14ac:dyDescent="0.25">
      <c r="A290" s="16" t="s">
        <v>46</v>
      </c>
      <c r="B290" s="15"/>
      <c r="C290" s="258"/>
      <c r="D290" s="14" t="s">
        <v>2</v>
      </c>
      <c r="E290" s="13" t="s">
        <v>2</v>
      </c>
      <c r="F290" s="13" t="s">
        <v>0</v>
      </c>
      <c r="G290" s="17" t="s">
        <v>0</v>
      </c>
      <c r="H290" s="17" t="s">
        <v>0</v>
      </c>
      <c r="I290" s="13" t="s">
        <v>1</v>
      </c>
      <c r="J290" s="13" t="s">
        <v>1</v>
      </c>
      <c r="K290" s="13" t="s">
        <v>1</v>
      </c>
      <c r="L290" s="13" t="s">
        <v>1</v>
      </c>
      <c r="M290" s="13" t="s">
        <v>1</v>
      </c>
      <c r="N290" s="13" t="s">
        <v>1</v>
      </c>
      <c r="O290" s="17" t="s">
        <v>0</v>
      </c>
      <c r="P290" s="17" t="s">
        <v>0</v>
      </c>
      <c r="Q290" s="17" t="s">
        <v>0</v>
      </c>
      <c r="R290" s="13" t="s">
        <v>2</v>
      </c>
      <c r="S290" s="13" t="s">
        <v>2</v>
      </c>
      <c r="T290" s="13" t="s">
        <v>2</v>
      </c>
      <c r="U290" s="13" t="s">
        <v>2</v>
      </c>
      <c r="V290" s="13" t="s">
        <v>2</v>
      </c>
      <c r="W290" s="13" t="s">
        <v>2</v>
      </c>
      <c r="X290" s="12" t="s">
        <v>0</v>
      </c>
      <c r="Y290" s="12" t="s">
        <v>0</v>
      </c>
      <c r="Z290" s="12" t="s">
        <v>0</v>
      </c>
      <c r="AA290" s="13" t="s">
        <v>1</v>
      </c>
      <c r="AB290" s="13" t="s">
        <v>1</v>
      </c>
      <c r="AC290" s="13" t="s">
        <v>1</v>
      </c>
      <c r="AD290" s="13" t="s">
        <v>1</v>
      </c>
      <c r="AE290" s="13" t="s">
        <v>1</v>
      </c>
      <c r="AF290" s="13" t="s">
        <v>1</v>
      </c>
      <c r="AG290" s="17" t="s">
        <v>0</v>
      </c>
      <c r="AH290" s="78" t="s">
        <v>0</v>
      </c>
      <c r="AI290" s="76">
        <f t="shared" si="108"/>
        <v>0</v>
      </c>
      <c r="AJ290" s="9">
        <f t="shared" si="109"/>
        <v>0</v>
      </c>
    </row>
    <row r="291" spans="1:36" x14ac:dyDescent="0.25">
      <c r="A291" s="16" t="s">
        <v>3</v>
      </c>
      <c r="B291" s="15">
        <f>AJ265</f>
        <v>15</v>
      </c>
      <c r="C291" s="258"/>
      <c r="D291" s="108" t="s">
        <v>1</v>
      </c>
      <c r="E291" s="12" t="s">
        <v>1</v>
      </c>
      <c r="F291" s="12" t="s">
        <v>1</v>
      </c>
      <c r="G291" s="12" t="s">
        <v>1</v>
      </c>
      <c r="H291" s="12" t="s">
        <v>1</v>
      </c>
      <c r="I291" s="12" t="s">
        <v>0</v>
      </c>
      <c r="J291" s="12" t="s">
        <v>0</v>
      </c>
      <c r="K291" s="12" t="s">
        <v>0</v>
      </c>
      <c r="L291" s="12" t="s">
        <v>2</v>
      </c>
      <c r="M291" s="12" t="s">
        <v>2</v>
      </c>
      <c r="N291" s="12" t="s">
        <v>2</v>
      </c>
      <c r="O291" s="12" t="s">
        <v>2</v>
      </c>
      <c r="P291" s="12" t="s">
        <v>2</v>
      </c>
      <c r="Q291" s="12" t="s">
        <v>2</v>
      </c>
      <c r="R291" s="12" t="s">
        <v>0</v>
      </c>
      <c r="S291" s="12" t="s">
        <v>0</v>
      </c>
      <c r="T291" s="12" t="s">
        <v>0</v>
      </c>
      <c r="U291" s="13" t="s">
        <v>31</v>
      </c>
      <c r="V291" s="13" t="s">
        <v>31</v>
      </c>
      <c r="W291" s="13" t="s">
        <v>31</v>
      </c>
      <c r="X291" s="13" t="s">
        <v>31</v>
      </c>
      <c r="Y291" s="13" t="s">
        <v>31</v>
      </c>
      <c r="Z291" s="13" t="s">
        <v>31</v>
      </c>
      <c r="AA291" s="13" t="s">
        <v>31</v>
      </c>
      <c r="AB291" s="13" t="s">
        <v>31</v>
      </c>
      <c r="AC291" s="13" t="s">
        <v>31</v>
      </c>
      <c r="AD291" s="12" t="s">
        <v>2</v>
      </c>
      <c r="AE291" s="12" t="s">
        <v>2</v>
      </c>
      <c r="AF291" s="12" t="s">
        <v>2</v>
      </c>
      <c r="AG291" s="12" t="s">
        <v>2</v>
      </c>
      <c r="AH291" s="100" t="s">
        <v>2</v>
      </c>
      <c r="AI291" s="76">
        <f t="shared" si="108"/>
        <v>9</v>
      </c>
      <c r="AJ291" s="9">
        <f t="shared" si="109"/>
        <v>6</v>
      </c>
    </row>
    <row r="292" spans="1:36" ht="15.75" thickBot="1" x14ac:dyDescent="0.3">
      <c r="A292" s="8" t="s">
        <v>39</v>
      </c>
      <c r="B292" s="7"/>
      <c r="C292" s="259"/>
      <c r="D292" s="6" t="s">
        <v>2</v>
      </c>
      <c r="E292" s="5" t="s">
        <v>2</v>
      </c>
      <c r="F292" s="5" t="s">
        <v>2</v>
      </c>
      <c r="G292" s="5" t="s">
        <v>2</v>
      </c>
      <c r="H292" s="5" t="s">
        <v>2</v>
      </c>
      <c r="I292" s="5" t="s">
        <v>0</v>
      </c>
      <c r="J292" s="5" t="s">
        <v>0</v>
      </c>
      <c r="K292" s="4" t="s">
        <v>0</v>
      </c>
      <c r="L292" s="4" t="s">
        <v>1</v>
      </c>
      <c r="M292" s="4" t="s">
        <v>1</v>
      </c>
      <c r="N292" s="4" t="s">
        <v>1</v>
      </c>
      <c r="O292" s="4" t="s">
        <v>1</v>
      </c>
      <c r="P292" s="4" t="s">
        <v>1</v>
      </c>
      <c r="Q292" s="4" t="s">
        <v>1</v>
      </c>
      <c r="R292" s="5" t="s">
        <v>0</v>
      </c>
      <c r="S292" s="5" t="s">
        <v>0</v>
      </c>
      <c r="T292" s="5" t="s">
        <v>0</v>
      </c>
      <c r="U292" s="4" t="s">
        <v>2</v>
      </c>
      <c r="V292" s="4" t="s">
        <v>2</v>
      </c>
      <c r="W292" s="4" t="s">
        <v>2</v>
      </c>
      <c r="X292" s="4" t="s">
        <v>2</v>
      </c>
      <c r="Y292" s="4" t="s">
        <v>2</v>
      </c>
      <c r="Z292" s="4" t="s">
        <v>2</v>
      </c>
      <c r="AA292" s="5" t="s">
        <v>0</v>
      </c>
      <c r="AB292" s="5" t="s">
        <v>0</v>
      </c>
      <c r="AC292" s="5" t="s">
        <v>0</v>
      </c>
      <c r="AD292" s="4" t="s">
        <v>1</v>
      </c>
      <c r="AE292" s="4" t="s">
        <v>1</v>
      </c>
      <c r="AF292" s="4" t="s">
        <v>1</v>
      </c>
      <c r="AG292" s="4" t="s">
        <v>1</v>
      </c>
      <c r="AH292" s="96" t="s">
        <v>1</v>
      </c>
      <c r="AI292" s="76">
        <f t="shared" si="108"/>
        <v>0</v>
      </c>
      <c r="AJ292" s="9">
        <f t="shared" si="109"/>
        <v>0</v>
      </c>
    </row>
    <row r="293" spans="1:36" ht="15.75" thickBot="1" x14ac:dyDescent="0.3"/>
    <row r="294" spans="1:36" ht="15" customHeight="1" x14ac:dyDescent="0.25">
      <c r="A294" s="240" t="s">
        <v>30</v>
      </c>
      <c r="B294" s="242" t="s">
        <v>29</v>
      </c>
      <c r="C294" s="244">
        <v>46113</v>
      </c>
      <c r="D294" s="72" t="s">
        <v>23</v>
      </c>
      <c r="E294" s="71" t="s">
        <v>22</v>
      </c>
      <c r="F294" s="71" t="s">
        <v>28</v>
      </c>
      <c r="G294" s="71" t="s">
        <v>27</v>
      </c>
      <c r="H294" s="71" t="s">
        <v>26</v>
      </c>
      <c r="I294" s="71" t="s">
        <v>25</v>
      </c>
      <c r="J294" s="71" t="s">
        <v>24</v>
      </c>
      <c r="K294" s="71" t="s">
        <v>23</v>
      </c>
      <c r="L294" s="71" t="s">
        <v>22</v>
      </c>
      <c r="M294" s="71" t="s">
        <v>28</v>
      </c>
      <c r="N294" s="71" t="s">
        <v>27</v>
      </c>
      <c r="O294" s="71" t="s">
        <v>26</v>
      </c>
      <c r="P294" s="71" t="s">
        <v>25</v>
      </c>
      <c r="Q294" s="71" t="s">
        <v>24</v>
      </c>
      <c r="R294" s="71" t="s">
        <v>23</v>
      </c>
      <c r="S294" s="71" t="s">
        <v>22</v>
      </c>
      <c r="T294" s="71" t="s">
        <v>28</v>
      </c>
      <c r="U294" s="71" t="s">
        <v>27</v>
      </c>
      <c r="V294" s="71" t="s">
        <v>26</v>
      </c>
      <c r="W294" s="71" t="s">
        <v>25</v>
      </c>
      <c r="X294" s="71" t="s">
        <v>24</v>
      </c>
      <c r="Y294" s="71" t="s">
        <v>23</v>
      </c>
      <c r="Z294" s="71" t="s">
        <v>22</v>
      </c>
      <c r="AA294" s="71" t="s">
        <v>28</v>
      </c>
      <c r="AB294" s="71" t="s">
        <v>27</v>
      </c>
      <c r="AC294" s="71" t="s">
        <v>26</v>
      </c>
      <c r="AD294" s="71" t="s">
        <v>25</v>
      </c>
      <c r="AE294" s="71" t="s">
        <v>24</v>
      </c>
      <c r="AF294" s="71" t="s">
        <v>23</v>
      </c>
      <c r="AG294" s="70" t="s">
        <v>22</v>
      </c>
      <c r="AH294" s="69" t="s">
        <v>22</v>
      </c>
      <c r="AI294" s="248" t="s">
        <v>21</v>
      </c>
      <c r="AJ294" s="250" t="s">
        <v>20</v>
      </c>
    </row>
    <row r="295" spans="1:36" ht="15.75" thickBot="1" x14ac:dyDescent="0.3">
      <c r="A295" s="241"/>
      <c r="B295" s="243"/>
      <c r="C295" s="245"/>
      <c r="D295" s="68">
        <v>1</v>
      </c>
      <c r="E295" s="67">
        <v>2</v>
      </c>
      <c r="F295" s="67">
        <v>3</v>
      </c>
      <c r="G295" s="67">
        <v>4</v>
      </c>
      <c r="H295" s="67">
        <v>5</v>
      </c>
      <c r="I295" s="67">
        <v>6</v>
      </c>
      <c r="J295" s="67">
        <v>7</v>
      </c>
      <c r="K295" s="67">
        <v>8</v>
      </c>
      <c r="L295" s="67">
        <v>9</v>
      </c>
      <c r="M295" s="67">
        <v>10</v>
      </c>
      <c r="N295" s="67">
        <v>11</v>
      </c>
      <c r="O295" s="67">
        <v>12</v>
      </c>
      <c r="P295" s="67">
        <v>13</v>
      </c>
      <c r="Q295" s="67">
        <v>14</v>
      </c>
      <c r="R295" s="67">
        <v>15</v>
      </c>
      <c r="S295" s="67">
        <v>16</v>
      </c>
      <c r="T295" s="67">
        <v>17</v>
      </c>
      <c r="U295" s="67">
        <v>18</v>
      </c>
      <c r="V295" s="67">
        <v>19</v>
      </c>
      <c r="W295" s="67">
        <v>20</v>
      </c>
      <c r="X295" s="67">
        <v>21</v>
      </c>
      <c r="Y295" s="67">
        <v>22</v>
      </c>
      <c r="Z295" s="67">
        <v>23</v>
      </c>
      <c r="AA295" s="67">
        <v>24</v>
      </c>
      <c r="AB295" s="67">
        <v>25</v>
      </c>
      <c r="AC295" s="67">
        <v>26</v>
      </c>
      <c r="AD295" s="67">
        <v>27</v>
      </c>
      <c r="AE295" s="67">
        <v>28</v>
      </c>
      <c r="AF295" s="67">
        <v>29</v>
      </c>
      <c r="AG295" s="66">
        <v>30</v>
      </c>
      <c r="AH295" s="65">
        <v>31</v>
      </c>
      <c r="AI295" s="249"/>
      <c r="AJ295" s="251"/>
    </row>
    <row r="296" spans="1:36" x14ac:dyDescent="0.25">
      <c r="A296" s="64" t="s">
        <v>19</v>
      </c>
      <c r="B296" s="63">
        <f>42+1</f>
        <v>43</v>
      </c>
      <c r="C296" s="246"/>
      <c r="D296" s="44" t="s">
        <v>2</v>
      </c>
      <c r="E296" s="42" t="s">
        <v>0</v>
      </c>
      <c r="F296" s="42" t="s">
        <v>0</v>
      </c>
      <c r="G296" s="43" t="s">
        <v>2</v>
      </c>
      <c r="H296" s="43" t="s">
        <v>2</v>
      </c>
      <c r="I296" s="42" t="s">
        <v>2</v>
      </c>
      <c r="J296" s="42" t="s">
        <v>2</v>
      </c>
      <c r="K296" s="42" t="s">
        <v>2</v>
      </c>
      <c r="L296" s="42" t="s">
        <v>0</v>
      </c>
      <c r="M296" s="42" t="s">
        <v>0</v>
      </c>
      <c r="N296" s="43" t="s">
        <v>2</v>
      </c>
      <c r="O296" s="43" t="s">
        <v>2</v>
      </c>
      <c r="P296" s="42" t="s">
        <v>2</v>
      </c>
      <c r="Q296" s="42" t="s">
        <v>2</v>
      </c>
      <c r="R296" s="42" t="s">
        <v>2</v>
      </c>
      <c r="S296" s="42" t="s">
        <v>0</v>
      </c>
      <c r="T296" s="42" t="s">
        <v>0</v>
      </c>
      <c r="U296" s="43" t="s">
        <v>2</v>
      </c>
      <c r="V296" s="43" t="s">
        <v>2</v>
      </c>
      <c r="W296" s="42" t="s">
        <v>2</v>
      </c>
      <c r="X296" s="42" t="s">
        <v>2</v>
      </c>
      <c r="Y296" s="42" t="s">
        <v>2</v>
      </c>
      <c r="Z296" s="42" t="s">
        <v>0</v>
      </c>
      <c r="AA296" s="42" t="s">
        <v>0</v>
      </c>
      <c r="AB296" s="43" t="s">
        <v>2</v>
      </c>
      <c r="AC296" s="43" t="s">
        <v>2</v>
      </c>
      <c r="AD296" s="42" t="s">
        <v>2</v>
      </c>
      <c r="AE296" s="42" t="s">
        <v>2</v>
      </c>
      <c r="AF296" s="42" t="s">
        <v>2</v>
      </c>
      <c r="AG296" s="42" t="s">
        <v>0</v>
      </c>
      <c r="AH296" s="42" t="s">
        <v>0</v>
      </c>
      <c r="AI296" s="61">
        <f t="shared" ref="AI296:AI314" si="110">COUNTIF(D296:AH296,"V")</f>
        <v>0</v>
      </c>
      <c r="AJ296" s="60">
        <f t="shared" ref="AJ296:AJ314" si="111">B296-AI296</f>
        <v>43</v>
      </c>
    </row>
    <row r="297" spans="1:36" ht="15.75" thickBot="1" x14ac:dyDescent="0.3">
      <c r="A297" s="59" t="s">
        <v>16</v>
      </c>
      <c r="B297" s="58">
        <f t="shared" ref="B297:B316" si="112">42+1</f>
        <v>43</v>
      </c>
      <c r="C297" s="246"/>
      <c r="D297" s="47" t="s">
        <v>2</v>
      </c>
      <c r="E297" s="28" t="s">
        <v>0</v>
      </c>
      <c r="F297" s="28" t="s">
        <v>0</v>
      </c>
      <c r="G297" s="30" t="s">
        <v>2</v>
      </c>
      <c r="H297" s="30" t="s">
        <v>2</v>
      </c>
      <c r="I297" s="30" t="s">
        <v>2</v>
      </c>
      <c r="J297" s="30" t="s">
        <v>2</v>
      </c>
      <c r="K297" s="30" t="s">
        <v>2</v>
      </c>
      <c r="L297" s="28" t="s">
        <v>0</v>
      </c>
      <c r="M297" s="28" t="s">
        <v>0</v>
      </c>
      <c r="N297" s="30" t="s">
        <v>2</v>
      </c>
      <c r="O297" s="30" t="s">
        <v>2</v>
      </c>
      <c r="P297" s="30" t="s">
        <v>2</v>
      </c>
      <c r="Q297" s="30" t="s">
        <v>2</v>
      </c>
      <c r="R297" s="30" t="s">
        <v>2</v>
      </c>
      <c r="S297" s="28" t="s">
        <v>0</v>
      </c>
      <c r="T297" s="28" t="s">
        <v>0</v>
      </c>
      <c r="U297" s="30" t="s">
        <v>2</v>
      </c>
      <c r="V297" s="30" t="s">
        <v>2</v>
      </c>
      <c r="W297" s="30" t="s">
        <v>2</v>
      </c>
      <c r="X297" s="30" t="s">
        <v>2</v>
      </c>
      <c r="Y297" s="30" t="s">
        <v>2</v>
      </c>
      <c r="Z297" s="28" t="s">
        <v>0</v>
      </c>
      <c r="AA297" s="28" t="s">
        <v>0</v>
      </c>
      <c r="AB297" s="30" t="s">
        <v>2</v>
      </c>
      <c r="AC297" s="30" t="s">
        <v>2</v>
      </c>
      <c r="AD297" s="30" t="s">
        <v>2</v>
      </c>
      <c r="AE297" s="30" t="s">
        <v>2</v>
      </c>
      <c r="AF297" s="30" t="s">
        <v>2</v>
      </c>
      <c r="AG297" s="28" t="s">
        <v>0</v>
      </c>
      <c r="AH297" s="27" t="s">
        <v>0</v>
      </c>
      <c r="AI297" s="10">
        <f t="shared" ref="AI297:AI299" si="113">COUNTIF(D297:AH297,"V")</f>
        <v>0</v>
      </c>
      <c r="AJ297" s="9">
        <f t="shared" ref="AJ297:AJ299" si="114">B297-AI297</f>
        <v>43</v>
      </c>
    </row>
    <row r="298" spans="1:36" ht="15.75" thickBot="1" x14ac:dyDescent="0.3">
      <c r="A298" s="59" t="s">
        <v>36</v>
      </c>
      <c r="B298" s="58"/>
      <c r="C298" s="246"/>
      <c r="D298" s="47" t="s">
        <v>2</v>
      </c>
      <c r="E298" s="28" t="s">
        <v>0</v>
      </c>
      <c r="F298" s="28" t="s">
        <v>0</v>
      </c>
      <c r="G298" s="30" t="s">
        <v>2</v>
      </c>
      <c r="H298" s="30" t="s">
        <v>2</v>
      </c>
      <c r="I298" s="30" t="s">
        <v>2</v>
      </c>
      <c r="J298" s="30" t="s">
        <v>2</v>
      </c>
      <c r="K298" s="30" t="s">
        <v>2</v>
      </c>
      <c r="L298" s="28" t="s">
        <v>0</v>
      </c>
      <c r="M298" s="28" t="s">
        <v>0</v>
      </c>
      <c r="N298" s="30" t="s">
        <v>2</v>
      </c>
      <c r="O298" s="30" t="s">
        <v>2</v>
      </c>
      <c r="P298" s="30" t="s">
        <v>2</v>
      </c>
      <c r="Q298" s="30" t="s">
        <v>2</v>
      </c>
      <c r="R298" s="30" t="s">
        <v>2</v>
      </c>
      <c r="S298" s="28" t="s">
        <v>0</v>
      </c>
      <c r="T298" s="28" t="s">
        <v>0</v>
      </c>
      <c r="U298" s="30" t="s">
        <v>2</v>
      </c>
      <c r="V298" s="30" t="s">
        <v>2</v>
      </c>
      <c r="W298" s="30" t="s">
        <v>2</v>
      </c>
      <c r="X298" s="30" t="s">
        <v>2</v>
      </c>
      <c r="Y298" s="30" t="s">
        <v>2</v>
      </c>
      <c r="Z298" s="28" t="s">
        <v>0</v>
      </c>
      <c r="AA298" s="28" t="s">
        <v>0</v>
      </c>
      <c r="AB298" s="30" t="s">
        <v>2</v>
      </c>
      <c r="AC298" s="30" t="s">
        <v>2</v>
      </c>
      <c r="AD298" s="30" t="s">
        <v>2</v>
      </c>
      <c r="AE298" s="30" t="s">
        <v>2</v>
      </c>
      <c r="AF298" s="30" t="s">
        <v>2</v>
      </c>
      <c r="AG298" s="28" t="s">
        <v>0</v>
      </c>
      <c r="AH298" s="27" t="s">
        <v>0</v>
      </c>
      <c r="AI298" s="10"/>
      <c r="AJ298" s="9"/>
    </row>
    <row r="299" spans="1:36" x14ac:dyDescent="0.25">
      <c r="A299" s="59" t="s">
        <v>17</v>
      </c>
      <c r="B299" s="58">
        <f t="shared" si="112"/>
        <v>43</v>
      </c>
      <c r="C299" s="246"/>
      <c r="D299" s="50" t="s">
        <v>2</v>
      </c>
      <c r="E299" s="35" t="s">
        <v>2</v>
      </c>
      <c r="F299" s="35" t="s">
        <v>2</v>
      </c>
      <c r="G299" s="36" t="s">
        <v>0</v>
      </c>
      <c r="H299" s="36" t="s">
        <v>0</v>
      </c>
      <c r="I299" s="35" t="s">
        <v>2</v>
      </c>
      <c r="J299" s="35" t="s">
        <v>2</v>
      </c>
      <c r="K299" s="35" t="s">
        <v>2</v>
      </c>
      <c r="L299" s="35" t="s">
        <v>2</v>
      </c>
      <c r="M299" s="35" t="s">
        <v>2</v>
      </c>
      <c r="N299" s="36" t="s">
        <v>0</v>
      </c>
      <c r="O299" s="36" t="s">
        <v>0</v>
      </c>
      <c r="P299" s="35" t="s">
        <v>2</v>
      </c>
      <c r="Q299" s="35" t="s">
        <v>2</v>
      </c>
      <c r="R299" s="35" t="s">
        <v>2</v>
      </c>
      <c r="S299" s="35" t="s">
        <v>2</v>
      </c>
      <c r="T299" s="35" t="s">
        <v>2</v>
      </c>
      <c r="U299" s="36" t="s">
        <v>0</v>
      </c>
      <c r="V299" s="36" t="s">
        <v>0</v>
      </c>
      <c r="W299" s="35" t="s">
        <v>2</v>
      </c>
      <c r="X299" s="35" t="s">
        <v>2</v>
      </c>
      <c r="Y299" s="35" t="s">
        <v>2</v>
      </c>
      <c r="Z299" s="35" t="s">
        <v>2</v>
      </c>
      <c r="AA299" s="35" t="s">
        <v>2</v>
      </c>
      <c r="AB299" s="36" t="s">
        <v>0</v>
      </c>
      <c r="AC299" s="36" t="s">
        <v>0</v>
      </c>
      <c r="AD299" s="35" t="s">
        <v>2</v>
      </c>
      <c r="AE299" s="35" t="s">
        <v>2</v>
      </c>
      <c r="AF299" s="35" t="s">
        <v>2</v>
      </c>
      <c r="AG299" s="35" t="s">
        <v>2</v>
      </c>
      <c r="AH299" s="34" t="s">
        <v>2</v>
      </c>
      <c r="AI299" s="10">
        <f t="shared" si="113"/>
        <v>0</v>
      </c>
      <c r="AJ299" s="9">
        <f t="shared" si="114"/>
        <v>43</v>
      </c>
    </row>
    <row r="300" spans="1:36" x14ac:dyDescent="0.25">
      <c r="A300" s="59" t="s">
        <v>18</v>
      </c>
      <c r="B300" s="58">
        <f>AJ274</f>
        <v>4</v>
      </c>
      <c r="C300" s="246"/>
      <c r="D300" s="50" t="s">
        <v>2</v>
      </c>
      <c r="E300" s="35" t="s">
        <v>2</v>
      </c>
      <c r="F300" s="35" t="s">
        <v>2</v>
      </c>
      <c r="G300" s="36" t="s">
        <v>0</v>
      </c>
      <c r="H300" s="36" t="s">
        <v>0</v>
      </c>
      <c r="I300" s="35" t="s">
        <v>2</v>
      </c>
      <c r="J300" s="35" t="s">
        <v>2</v>
      </c>
      <c r="K300" s="35" t="s">
        <v>2</v>
      </c>
      <c r="L300" s="35" t="s">
        <v>2</v>
      </c>
      <c r="M300" s="35" t="s">
        <v>2</v>
      </c>
      <c r="N300" s="36" t="s">
        <v>0</v>
      </c>
      <c r="O300" s="36" t="s">
        <v>0</v>
      </c>
      <c r="P300" s="35" t="s">
        <v>2</v>
      </c>
      <c r="Q300" s="35" t="s">
        <v>2</v>
      </c>
      <c r="R300" s="35" t="s">
        <v>2</v>
      </c>
      <c r="S300" s="35" t="s">
        <v>2</v>
      </c>
      <c r="T300" s="35" t="s">
        <v>2</v>
      </c>
      <c r="U300" s="36" t="s">
        <v>0</v>
      </c>
      <c r="V300" s="36" t="s">
        <v>0</v>
      </c>
      <c r="W300" s="35" t="s">
        <v>2</v>
      </c>
      <c r="X300" s="35" t="s">
        <v>2</v>
      </c>
      <c r="Y300" s="35" t="s">
        <v>2</v>
      </c>
      <c r="Z300" s="35" t="s">
        <v>2</v>
      </c>
      <c r="AA300" s="35" t="s">
        <v>2</v>
      </c>
      <c r="AB300" s="36" t="s">
        <v>0</v>
      </c>
      <c r="AC300" s="36" t="s">
        <v>0</v>
      </c>
      <c r="AD300" s="35" t="s">
        <v>2</v>
      </c>
      <c r="AE300" s="35" t="s">
        <v>2</v>
      </c>
      <c r="AF300" s="35" t="s">
        <v>2</v>
      </c>
      <c r="AG300" s="35" t="s">
        <v>2</v>
      </c>
      <c r="AH300" s="34" t="s">
        <v>2</v>
      </c>
      <c r="AI300" s="10">
        <f t="shared" si="110"/>
        <v>0</v>
      </c>
      <c r="AJ300" s="9">
        <f t="shared" si="111"/>
        <v>4</v>
      </c>
    </row>
    <row r="301" spans="1:36" ht="15.75" thickBot="1" x14ac:dyDescent="0.3">
      <c r="A301" s="57" t="s">
        <v>37</v>
      </c>
      <c r="B301" s="56"/>
      <c r="C301" s="246"/>
      <c r="D301" s="119" t="s">
        <v>2</v>
      </c>
      <c r="E301" s="117" t="s">
        <v>2</v>
      </c>
      <c r="F301" s="117" t="s">
        <v>2</v>
      </c>
      <c r="G301" s="118" t="s">
        <v>0</v>
      </c>
      <c r="H301" s="118" t="s">
        <v>0</v>
      </c>
      <c r="I301" s="117" t="s">
        <v>2</v>
      </c>
      <c r="J301" s="117" t="s">
        <v>2</v>
      </c>
      <c r="K301" s="117" t="s">
        <v>2</v>
      </c>
      <c r="L301" s="117" t="s">
        <v>2</v>
      </c>
      <c r="M301" s="117" t="s">
        <v>2</v>
      </c>
      <c r="N301" s="118" t="s">
        <v>0</v>
      </c>
      <c r="O301" s="118" t="s">
        <v>0</v>
      </c>
      <c r="P301" s="117" t="s">
        <v>2</v>
      </c>
      <c r="Q301" s="117" t="s">
        <v>2</v>
      </c>
      <c r="R301" s="117" t="s">
        <v>2</v>
      </c>
      <c r="S301" s="117" t="s">
        <v>2</v>
      </c>
      <c r="T301" s="117" t="s">
        <v>2</v>
      </c>
      <c r="U301" s="118" t="s">
        <v>0</v>
      </c>
      <c r="V301" s="118" t="s">
        <v>0</v>
      </c>
      <c r="W301" s="117" t="s">
        <v>2</v>
      </c>
      <c r="X301" s="117" t="s">
        <v>2</v>
      </c>
      <c r="Y301" s="117" t="s">
        <v>2</v>
      </c>
      <c r="Z301" s="117" t="s">
        <v>2</v>
      </c>
      <c r="AA301" s="117" t="s">
        <v>2</v>
      </c>
      <c r="AB301" s="118" t="s">
        <v>0</v>
      </c>
      <c r="AC301" s="118" t="s">
        <v>0</v>
      </c>
      <c r="AD301" s="117" t="s">
        <v>2</v>
      </c>
      <c r="AE301" s="117" t="s">
        <v>2</v>
      </c>
      <c r="AF301" s="117" t="s">
        <v>2</v>
      </c>
      <c r="AG301" s="117" t="s">
        <v>2</v>
      </c>
      <c r="AH301" s="215" t="s">
        <v>2</v>
      </c>
      <c r="AI301" s="10"/>
      <c r="AJ301" s="9"/>
    </row>
    <row r="302" spans="1:36" x14ac:dyDescent="0.25">
      <c r="A302" s="168" t="s">
        <v>15</v>
      </c>
      <c r="B302" s="169">
        <f t="shared" si="112"/>
        <v>43</v>
      </c>
      <c r="C302" s="247"/>
      <c r="D302" s="44" t="s">
        <v>31</v>
      </c>
      <c r="E302" s="42" t="s">
        <v>31</v>
      </c>
      <c r="F302" s="42" t="s">
        <v>31</v>
      </c>
      <c r="G302" s="42" t="s">
        <v>31</v>
      </c>
      <c r="H302" s="42" t="s">
        <v>31</v>
      </c>
      <c r="I302" s="42" t="s">
        <v>31</v>
      </c>
      <c r="J302" s="42" t="s">
        <v>31</v>
      </c>
      <c r="K302" s="42" t="s">
        <v>31</v>
      </c>
      <c r="L302" s="42" t="s">
        <v>31</v>
      </c>
      <c r="M302" s="42" t="s">
        <v>31</v>
      </c>
      <c r="N302" s="42" t="s">
        <v>31</v>
      </c>
      <c r="O302" s="42" t="s">
        <v>31</v>
      </c>
      <c r="P302" s="42" t="s">
        <v>31</v>
      </c>
      <c r="Q302" s="42" t="s">
        <v>31</v>
      </c>
      <c r="R302" s="42" t="s">
        <v>31</v>
      </c>
      <c r="S302" s="42" t="s">
        <v>31</v>
      </c>
      <c r="T302" s="43" t="s">
        <v>0</v>
      </c>
      <c r="U302" s="43" t="s">
        <v>0</v>
      </c>
      <c r="V302" s="42" t="s">
        <v>2</v>
      </c>
      <c r="W302" s="42" t="s">
        <v>2</v>
      </c>
      <c r="X302" s="42" t="s">
        <v>2</v>
      </c>
      <c r="Y302" s="42" t="s">
        <v>2</v>
      </c>
      <c r="Z302" s="42" t="s">
        <v>2</v>
      </c>
      <c r="AA302" s="43" t="s">
        <v>0</v>
      </c>
      <c r="AB302" s="43" t="s">
        <v>0</v>
      </c>
      <c r="AC302" s="42" t="s">
        <v>2</v>
      </c>
      <c r="AD302" s="42" t="s">
        <v>2</v>
      </c>
      <c r="AE302" s="42" t="s">
        <v>2</v>
      </c>
      <c r="AF302" s="42" t="s">
        <v>2</v>
      </c>
      <c r="AG302" s="42" t="s">
        <v>2</v>
      </c>
      <c r="AH302" s="103" t="s">
        <v>0</v>
      </c>
      <c r="AI302" s="76">
        <f t="shared" si="110"/>
        <v>16</v>
      </c>
      <c r="AJ302" s="9">
        <f t="shared" si="111"/>
        <v>27</v>
      </c>
    </row>
    <row r="303" spans="1:36" ht="14.25" customHeight="1" x14ac:dyDescent="0.25">
      <c r="A303" s="52" t="s">
        <v>14</v>
      </c>
      <c r="B303" s="51">
        <f t="shared" si="112"/>
        <v>43</v>
      </c>
      <c r="C303" s="247"/>
      <c r="D303" s="50" t="s">
        <v>2</v>
      </c>
      <c r="E303" s="35" t="s">
        <v>2</v>
      </c>
      <c r="F303" s="36" t="s">
        <v>0</v>
      </c>
      <c r="G303" s="36" t="s">
        <v>0</v>
      </c>
      <c r="H303" s="35" t="s">
        <v>2</v>
      </c>
      <c r="I303" s="35" t="s">
        <v>2</v>
      </c>
      <c r="J303" s="35" t="s">
        <v>2</v>
      </c>
      <c r="K303" s="35" t="s">
        <v>2</v>
      </c>
      <c r="L303" s="35" t="s">
        <v>2</v>
      </c>
      <c r="M303" s="36" t="s">
        <v>0</v>
      </c>
      <c r="N303" s="36" t="s">
        <v>0</v>
      </c>
      <c r="O303" s="35" t="s">
        <v>2</v>
      </c>
      <c r="P303" s="35" t="s">
        <v>2</v>
      </c>
      <c r="Q303" s="35" t="s">
        <v>2</v>
      </c>
      <c r="R303" s="35" t="s">
        <v>2</v>
      </c>
      <c r="S303" s="35" t="s">
        <v>2</v>
      </c>
      <c r="T303" s="36" t="s">
        <v>0</v>
      </c>
      <c r="U303" s="36" t="s">
        <v>0</v>
      </c>
      <c r="V303" s="35" t="s">
        <v>2</v>
      </c>
      <c r="W303" s="35" t="s">
        <v>2</v>
      </c>
      <c r="X303" s="35" t="s">
        <v>2</v>
      </c>
      <c r="Y303" s="35" t="s">
        <v>2</v>
      </c>
      <c r="Z303" s="35" t="s">
        <v>2</v>
      </c>
      <c r="AA303" s="36" t="s">
        <v>0</v>
      </c>
      <c r="AB303" s="36" t="s">
        <v>0</v>
      </c>
      <c r="AC303" s="35" t="s">
        <v>2</v>
      </c>
      <c r="AD303" s="35" t="s">
        <v>2</v>
      </c>
      <c r="AE303" s="35" t="s">
        <v>2</v>
      </c>
      <c r="AF303" s="35" t="s">
        <v>2</v>
      </c>
      <c r="AG303" s="35" t="s">
        <v>2</v>
      </c>
      <c r="AH303" s="82" t="s">
        <v>0</v>
      </c>
      <c r="AI303" s="76">
        <f t="shared" si="110"/>
        <v>0</v>
      </c>
      <c r="AJ303" s="9">
        <f t="shared" si="111"/>
        <v>43</v>
      </c>
    </row>
    <row r="304" spans="1:36" x14ac:dyDescent="0.25">
      <c r="A304" s="52" t="s">
        <v>13</v>
      </c>
      <c r="B304" s="51">
        <f t="shared" si="112"/>
        <v>43</v>
      </c>
      <c r="C304" s="247"/>
      <c r="D304" s="50" t="s">
        <v>31</v>
      </c>
      <c r="E304" s="35" t="s">
        <v>31</v>
      </c>
      <c r="F304" s="36" t="s">
        <v>0</v>
      </c>
      <c r="G304" s="36" t="s">
        <v>0</v>
      </c>
      <c r="H304" s="35" t="s">
        <v>2</v>
      </c>
      <c r="I304" s="35" t="s">
        <v>2</v>
      </c>
      <c r="J304" s="35" t="s">
        <v>2</v>
      </c>
      <c r="K304" s="35" t="s">
        <v>2</v>
      </c>
      <c r="L304" s="35" t="s">
        <v>2</v>
      </c>
      <c r="M304" s="36" t="s">
        <v>0</v>
      </c>
      <c r="N304" s="36" t="s">
        <v>0</v>
      </c>
      <c r="O304" s="35" t="s">
        <v>2</v>
      </c>
      <c r="P304" s="35" t="s">
        <v>2</v>
      </c>
      <c r="Q304" s="35" t="s">
        <v>2</v>
      </c>
      <c r="R304" s="35" t="s">
        <v>2</v>
      </c>
      <c r="S304" s="35" t="s">
        <v>2</v>
      </c>
      <c r="T304" s="36" t="s">
        <v>0</v>
      </c>
      <c r="U304" s="36" t="s">
        <v>0</v>
      </c>
      <c r="V304" s="35" t="s">
        <v>2</v>
      </c>
      <c r="W304" s="35" t="s">
        <v>2</v>
      </c>
      <c r="X304" s="35" t="s">
        <v>2</v>
      </c>
      <c r="Y304" s="35" t="s">
        <v>2</v>
      </c>
      <c r="Z304" s="35" t="s">
        <v>2</v>
      </c>
      <c r="AA304" s="36" t="s">
        <v>0</v>
      </c>
      <c r="AB304" s="36" t="s">
        <v>0</v>
      </c>
      <c r="AC304" s="35" t="s">
        <v>2</v>
      </c>
      <c r="AD304" s="35" t="s">
        <v>2</v>
      </c>
      <c r="AE304" s="35" t="s">
        <v>2</v>
      </c>
      <c r="AF304" s="35" t="s">
        <v>2</v>
      </c>
      <c r="AG304" s="35" t="s">
        <v>2</v>
      </c>
      <c r="AH304" s="82" t="s">
        <v>0</v>
      </c>
      <c r="AI304" s="76">
        <f t="shared" si="110"/>
        <v>2</v>
      </c>
      <c r="AJ304" s="9">
        <f t="shared" si="111"/>
        <v>41</v>
      </c>
    </row>
    <row r="305" spans="1:36" ht="15.75" thickBot="1" x14ac:dyDescent="0.3">
      <c r="A305" s="49" t="s">
        <v>6</v>
      </c>
      <c r="B305" s="48">
        <f t="shared" si="112"/>
        <v>43</v>
      </c>
      <c r="C305" s="247"/>
      <c r="D305" s="217" t="s">
        <v>0</v>
      </c>
      <c r="E305" s="201" t="s">
        <v>1</v>
      </c>
      <c r="F305" s="201" t="s">
        <v>1</v>
      </c>
      <c r="G305" s="201" t="s">
        <v>1</v>
      </c>
      <c r="H305" s="201" t="s">
        <v>1</v>
      </c>
      <c r="I305" s="201" t="s">
        <v>1</v>
      </c>
      <c r="J305" s="201" t="s">
        <v>1</v>
      </c>
      <c r="K305" s="201" t="s">
        <v>0</v>
      </c>
      <c r="L305" s="201" t="s">
        <v>0</v>
      </c>
      <c r="M305" s="201" t="s">
        <v>0</v>
      </c>
      <c r="N305" s="5" t="s">
        <v>2</v>
      </c>
      <c r="O305" s="5" t="s">
        <v>2</v>
      </c>
      <c r="P305" s="5" t="s">
        <v>2</v>
      </c>
      <c r="Q305" s="5" t="s">
        <v>2</v>
      </c>
      <c r="R305" s="5" t="s">
        <v>2</v>
      </c>
      <c r="S305" s="5" t="s">
        <v>2</v>
      </c>
      <c r="T305" s="4" t="s">
        <v>0</v>
      </c>
      <c r="U305" s="4" t="s">
        <v>0</v>
      </c>
      <c r="V305" s="4" t="s">
        <v>0</v>
      </c>
      <c r="W305" s="201" t="s">
        <v>1</v>
      </c>
      <c r="X305" s="201" t="s">
        <v>1</v>
      </c>
      <c r="Y305" s="201" t="s">
        <v>1</v>
      </c>
      <c r="Z305" s="201" t="s">
        <v>1</v>
      </c>
      <c r="AA305" s="201" t="s">
        <v>1</v>
      </c>
      <c r="AB305" s="201" t="s">
        <v>1</v>
      </c>
      <c r="AC305" s="201" t="s">
        <v>0</v>
      </c>
      <c r="AD305" s="201" t="s">
        <v>0</v>
      </c>
      <c r="AE305" s="201" t="s">
        <v>0</v>
      </c>
      <c r="AF305" s="5" t="s">
        <v>2</v>
      </c>
      <c r="AG305" s="5" t="s">
        <v>2</v>
      </c>
      <c r="AH305" s="96" t="s">
        <v>2</v>
      </c>
      <c r="AI305" s="76">
        <f t="shared" ref="AI305" si="115">COUNTIF(D305:AH305,"V")</f>
        <v>0</v>
      </c>
      <c r="AJ305" s="9">
        <f t="shared" ref="AJ305" si="116">B305-AI305</f>
        <v>43</v>
      </c>
    </row>
    <row r="306" spans="1:36" x14ac:dyDescent="0.25">
      <c r="A306" s="187" t="s">
        <v>11</v>
      </c>
      <c r="B306" s="188">
        <f t="shared" si="112"/>
        <v>43</v>
      </c>
      <c r="C306" s="245"/>
      <c r="D306" s="123" t="s">
        <v>0</v>
      </c>
      <c r="E306" s="121" t="s">
        <v>2</v>
      </c>
      <c r="F306" s="121" t="s">
        <v>2</v>
      </c>
      <c r="G306" s="121" t="s">
        <v>2</v>
      </c>
      <c r="H306" s="199" t="s">
        <v>1</v>
      </c>
      <c r="I306" s="199" t="s">
        <v>1</v>
      </c>
      <c r="J306" s="199" t="s">
        <v>1</v>
      </c>
      <c r="K306" s="122" t="s">
        <v>0</v>
      </c>
      <c r="L306" s="122" t="s">
        <v>0</v>
      </c>
      <c r="M306" s="122" t="s">
        <v>0</v>
      </c>
      <c r="N306" s="121" t="s">
        <v>2</v>
      </c>
      <c r="O306" s="121" t="s">
        <v>2</v>
      </c>
      <c r="P306" s="121" t="s">
        <v>2</v>
      </c>
      <c r="Q306" s="199" t="s">
        <v>1</v>
      </c>
      <c r="R306" s="199" t="s">
        <v>1</v>
      </c>
      <c r="S306" s="199" t="s">
        <v>1</v>
      </c>
      <c r="T306" s="122" t="s">
        <v>0</v>
      </c>
      <c r="U306" s="122" t="s">
        <v>0</v>
      </c>
      <c r="V306" s="122" t="s">
        <v>0</v>
      </c>
      <c r="W306" s="121" t="s">
        <v>2</v>
      </c>
      <c r="X306" s="121" t="s">
        <v>2</v>
      </c>
      <c r="Y306" s="121" t="s">
        <v>2</v>
      </c>
      <c r="Z306" s="199" t="s">
        <v>1</v>
      </c>
      <c r="AA306" s="199" t="s">
        <v>1</v>
      </c>
      <c r="AB306" s="199" t="s">
        <v>1</v>
      </c>
      <c r="AC306" s="122" t="s">
        <v>0</v>
      </c>
      <c r="AD306" s="122" t="s">
        <v>0</v>
      </c>
      <c r="AE306" s="122" t="s">
        <v>0</v>
      </c>
      <c r="AF306" s="121" t="s">
        <v>2</v>
      </c>
      <c r="AG306" s="121" t="s">
        <v>2</v>
      </c>
      <c r="AH306" s="216" t="s">
        <v>2</v>
      </c>
      <c r="AI306" s="10">
        <f t="shared" si="110"/>
        <v>0</v>
      </c>
      <c r="AJ306" s="9">
        <f t="shared" si="111"/>
        <v>43</v>
      </c>
    </row>
    <row r="307" spans="1:36" ht="15.75" thickBot="1" x14ac:dyDescent="0.3">
      <c r="A307" s="193" t="s">
        <v>10</v>
      </c>
      <c r="B307" s="194">
        <f t="shared" si="112"/>
        <v>43</v>
      </c>
      <c r="C307" s="245"/>
      <c r="D307" s="31" t="s">
        <v>1</v>
      </c>
      <c r="E307" s="28" t="s">
        <v>0</v>
      </c>
      <c r="F307" s="28" t="s">
        <v>0</v>
      </c>
      <c r="G307" s="28" t="s">
        <v>0</v>
      </c>
      <c r="H307" s="30" t="s">
        <v>2</v>
      </c>
      <c r="I307" s="30" t="s">
        <v>2</v>
      </c>
      <c r="J307" s="30" t="s">
        <v>2</v>
      </c>
      <c r="K307" s="29" t="s">
        <v>1</v>
      </c>
      <c r="L307" s="29" t="s">
        <v>1</v>
      </c>
      <c r="M307" s="29" t="s">
        <v>1</v>
      </c>
      <c r="N307" s="28" t="s">
        <v>0</v>
      </c>
      <c r="O307" s="28" t="s">
        <v>0</v>
      </c>
      <c r="P307" s="28" t="s">
        <v>0</v>
      </c>
      <c r="Q307" s="30" t="s">
        <v>2</v>
      </c>
      <c r="R307" s="30" t="s">
        <v>2</v>
      </c>
      <c r="S307" s="30" t="s">
        <v>2</v>
      </c>
      <c r="T307" s="29" t="s">
        <v>1</v>
      </c>
      <c r="U307" s="29" t="s">
        <v>1</v>
      </c>
      <c r="V307" s="29" t="s">
        <v>1</v>
      </c>
      <c r="W307" s="28" t="s">
        <v>0</v>
      </c>
      <c r="X307" s="28" t="s">
        <v>0</v>
      </c>
      <c r="Y307" s="28" t="s">
        <v>0</v>
      </c>
      <c r="Z307" s="30" t="s">
        <v>2</v>
      </c>
      <c r="AA307" s="30" t="s">
        <v>2</v>
      </c>
      <c r="AB307" s="30" t="s">
        <v>2</v>
      </c>
      <c r="AC307" s="29" t="s">
        <v>1</v>
      </c>
      <c r="AD307" s="29" t="s">
        <v>1</v>
      </c>
      <c r="AE307" s="29" t="s">
        <v>1</v>
      </c>
      <c r="AF307" s="28" t="s">
        <v>0</v>
      </c>
      <c r="AG307" s="28" t="s">
        <v>0</v>
      </c>
      <c r="AH307" s="27" t="s">
        <v>0</v>
      </c>
      <c r="AI307" s="10">
        <f t="shared" si="110"/>
        <v>0</v>
      </c>
      <c r="AJ307" s="9">
        <f t="shared" si="111"/>
        <v>43</v>
      </c>
    </row>
    <row r="308" spans="1:36" ht="15.75" thickBot="1" x14ac:dyDescent="0.3">
      <c r="A308" s="189" t="s">
        <v>7</v>
      </c>
      <c r="B308" s="190">
        <f t="shared" si="112"/>
        <v>43</v>
      </c>
      <c r="C308" s="246"/>
      <c r="D308" s="18" t="s">
        <v>2</v>
      </c>
      <c r="E308" s="17" t="s">
        <v>0</v>
      </c>
      <c r="F308" s="17" t="s">
        <v>0</v>
      </c>
      <c r="G308" s="17" t="s">
        <v>2</v>
      </c>
      <c r="H308" s="17" t="s">
        <v>2</v>
      </c>
      <c r="I308" s="17" t="s">
        <v>2</v>
      </c>
      <c r="J308" s="17" t="s">
        <v>2</v>
      </c>
      <c r="K308" s="17" t="s">
        <v>2</v>
      </c>
      <c r="L308" s="17" t="s">
        <v>0</v>
      </c>
      <c r="M308" s="17" t="s">
        <v>0</v>
      </c>
      <c r="N308" s="17" t="s">
        <v>2</v>
      </c>
      <c r="O308" s="17" t="s">
        <v>2</v>
      </c>
      <c r="P308" s="17" t="s">
        <v>2</v>
      </c>
      <c r="Q308" s="17" t="s">
        <v>2</v>
      </c>
      <c r="R308" s="17" t="s">
        <v>2</v>
      </c>
      <c r="S308" s="17" t="s">
        <v>0</v>
      </c>
      <c r="T308" s="17" t="s">
        <v>0</v>
      </c>
      <c r="U308" s="17" t="s">
        <v>2</v>
      </c>
      <c r="V308" s="17" t="s">
        <v>2</v>
      </c>
      <c r="W308" s="17" t="s">
        <v>2</v>
      </c>
      <c r="X308" s="17" t="s">
        <v>2</v>
      </c>
      <c r="Y308" s="17" t="s">
        <v>2</v>
      </c>
      <c r="Z308" s="17" t="s">
        <v>0</v>
      </c>
      <c r="AA308" s="17" t="s">
        <v>0</v>
      </c>
      <c r="AB308" s="17" t="s">
        <v>2</v>
      </c>
      <c r="AC308" s="17" t="s">
        <v>2</v>
      </c>
      <c r="AD308" s="17" t="s">
        <v>2</v>
      </c>
      <c r="AE308" s="17" t="s">
        <v>2</v>
      </c>
      <c r="AF308" s="17" t="s">
        <v>2</v>
      </c>
      <c r="AG308" s="17" t="s">
        <v>0</v>
      </c>
      <c r="AH308" s="20" t="s">
        <v>0</v>
      </c>
      <c r="AI308" s="10">
        <f t="shared" ref="AI308" si="117">COUNTIF(D308:AH308,"V")</f>
        <v>0</v>
      </c>
      <c r="AJ308" s="9">
        <f t="shared" ref="AJ308" si="118">B308-AI308</f>
        <v>43</v>
      </c>
    </row>
    <row r="309" spans="1:36" x14ac:dyDescent="0.25">
      <c r="A309" s="189" t="s">
        <v>9</v>
      </c>
      <c r="B309" s="190">
        <f t="shared" si="112"/>
        <v>43</v>
      </c>
      <c r="C309" s="246"/>
      <c r="D309" s="24" t="s">
        <v>2</v>
      </c>
      <c r="E309" s="22" t="s">
        <v>2</v>
      </c>
      <c r="F309" s="22" t="s">
        <v>2</v>
      </c>
      <c r="G309" s="23" t="s">
        <v>2</v>
      </c>
      <c r="H309" s="23" t="s">
        <v>2</v>
      </c>
      <c r="I309" s="23" t="s">
        <v>2</v>
      </c>
      <c r="J309" s="23" t="s">
        <v>0</v>
      </c>
      <c r="K309" s="23" t="s">
        <v>0</v>
      </c>
      <c r="L309" s="23" t="s">
        <v>0</v>
      </c>
      <c r="M309" s="22" t="s">
        <v>2</v>
      </c>
      <c r="N309" s="22" t="s">
        <v>2</v>
      </c>
      <c r="O309" s="22" t="s">
        <v>2</v>
      </c>
      <c r="P309" s="23" t="s">
        <v>2</v>
      </c>
      <c r="Q309" s="23" t="s">
        <v>2</v>
      </c>
      <c r="R309" s="23" t="s">
        <v>2</v>
      </c>
      <c r="S309" s="23" t="s">
        <v>0</v>
      </c>
      <c r="T309" s="23" t="s">
        <v>0</v>
      </c>
      <c r="U309" s="23" t="s">
        <v>0</v>
      </c>
      <c r="V309" s="22" t="s">
        <v>2</v>
      </c>
      <c r="W309" s="22" t="s">
        <v>2</v>
      </c>
      <c r="X309" s="22" t="s">
        <v>2</v>
      </c>
      <c r="Y309" s="23" t="s">
        <v>2</v>
      </c>
      <c r="Z309" s="23" t="s">
        <v>2</v>
      </c>
      <c r="AA309" s="23" t="s">
        <v>2</v>
      </c>
      <c r="AB309" s="23" t="s">
        <v>0</v>
      </c>
      <c r="AC309" s="23" t="s">
        <v>0</v>
      </c>
      <c r="AD309" s="23" t="s">
        <v>0</v>
      </c>
      <c r="AE309" s="22" t="s">
        <v>2</v>
      </c>
      <c r="AF309" s="22" t="s">
        <v>2</v>
      </c>
      <c r="AG309" s="22" t="s">
        <v>2</v>
      </c>
      <c r="AH309" s="21" t="s">
        <v>2</v>
      </c>
      <c r="AI309" s="10">
        <f t="shared" si="110"/>
        <v>0</v>
      </c>
      <c r="AJ309" s="9">
        <f t="shared" si="111"/>
        <v>43</v>
      </c>
    </row>
    <row r="310" spans="1:36" x14ac:dyDescent="0.25">
      <c r="A310" s="189" t="s">
        <v>4</v>
      </c>
      <c r="B310" s="190">
        <f t="shared" si="112"/>
        <v>43</v>
      </c>
      <c r="C310" s="246"/>
      <c r="D310" s="14" t="s">
        <v>2</v>
      </c>
      <c r="E310" s="13" t="s">
        <v>2</v>
      </c>
      <c r="F310" s="13" t="s">
        <v>2</v>
      </c>
      <c r="G310" s="13" t="s">
        <v>0</v>
      </c>
      <c r="H310" s="13" t="s">
        <v>0</v>
      </c>
      <c r="I310" s="13" t="s">
        <v>0</v>
      </c>
      <c r="J310" s="13" t="s">
        <v>2</v>
      </c>
      <c r="K310" s="13" t="s">
        <v>2</v>
      </c>
      <c r="L310" s="13" t="s">
        <v>2</v>
      </c>
      <c r="M310" s="13" t="s">
        <v>2</v>
      </c>
      <c r="N310" s="13" t="s">
        <v>2</v>
      </c>
      <c r="O310" s="13" t="s">
        <v>2</v>
      </c>
      <c r="P310" s="13" t="s">
        <v>0</v>
      </c>
      <c r="Q310" s="13" t="s">
        <v>0</v>
      </c>
      <c r="R310" s="13" t="s">
        <v>0</v>
      </c>
      <c r="S310" s="13" t="s">
        <v>2</v>
      </c>
      <c r="T310" s="13" t="s">
        <v>2</v>
      </c>
      <c r="U310" s="13" t="s">
        <v>2</v>
      </c>
      <c r="V310" s="13" t="s">
        <v>2</v>
      </c>
      <c r="W310" s="13" t="s">
        <v>2</v>
      </c>
      <c r="X310" s="13" t="s">
        <v>2</v>
      </c>
      <c r="Y310" s="13" t="s">
        <v>0</v>
      </c>
      <c r="Z310" s="13" t="s">
        <v>0</v>
      </c>
      <c r="AA310" s="13" t="s">
        <v>0</v>
      </c>
      <c r="AB310" s="13" t="s">
        <v>2</v>
      </c>
      <c r="AC310" s="13" t="s">
        <v>2</v>
      </c>
      <c r="AD310" s="13" t="s">
        <v>2</v>
      </c>
      <c r="AE310" s="13" t="s">
        <v>2</v>
      </c>
      <c r="AF310" s="13" t="s">
        <v>2</v>
      </c>
      <c r="AG310" s="13" t="s">
        <v>2</v>
      </c>
      <c r="AH310" s="11" t="s">
        <v>0</v>
      </c>
      <c r="AI310" s="10">
        <f t="shared" ref="AI310" si="119">COUNTIF(D310:AH310,"V")</f>
        <v>0</v>
      </c>
      <c r="AJ310" s="9">
        <f t="shared" ref="AJ310" si="120">B310-AI310</f>
        <v>43</v>
      </c>
    </row>
    <row r="311" spans="1:36" x14ac:dyDescent="0.25">
      <c r="A311" s="189" t="s">
        <v>8</v>
      </c>
      <c r="B311" s="190">
        <f t="shared" si="112"/>
        <v>43</v>
      </c>
      <c r="C311" s="246"/>
      <c r="D311" s="14" t="s">
        <v>1</v>
      </c>
      <c r="E311" s="13" t="s">
        <v>1</v>
      </c>
      <c r="F311" s="13" t="s">
        <v>1</v>
      </c>
      <c r="G311" s="13" t="s">
        <v>1</v>
      </c>
      <c r="H311" s="13" t="s">
        <v>0</v>
      </c>
      <c r="I311" s="13" t="s">
        <v>0</v>
      </c>
      <c r="J311" s="13" t="s">
        <v>0</v>
      </c>
      <c r="K311" s="13" t="s">
        <v>2</v>
      </c>
      <c r="L311" s="13" t="s">
        <v>2</v>
      </c>
      <c r="M311" s="13" t="s">
        <v>2</v>
      </c>
      <c r="N311" s="13" t="s">
        <v>2</v>
      </c>
      <c r="O311" s="13" t="s">
        <v>2</v>
      </c>
      <c r="P311" s="13" t="s">
        <v>2</v>
      </c>
      <c r="Q311" s="13" t="s">
        <v>0</v>
      </c>
      <c r="R311" s="13" t="s">
        <v>0</v>
      </c>
      <c r="S311" s="13" t="s">
        <v>0</v>
      </c>
      <c r="T311" s="12" t="s">
        <v>1</v>
      </c>
      <c r="U311" s="12" t="s">
        <v>1</v>
      </c>
      <c r="V311" s="12" t="s">
        <v>1</v>
      </c>
      <c r="W311" s="12" t="s">
        <v>1</v>
      </c>
      <c r="X311" s="12" t="s">
        <v>1</v>
      </c>
      <c r="Y311" s="12" t="s">
        <v>1</v>
      </c>
      <c r="Z311" s="13" t="s">
        <v>0</v>
      </c>
      <c r="AA311" s="13" t="s">
        <v>0</v>
      </c>
      <c r="AB311" s="13" t="s">
        <v>0</v>
      </c>
      <c r="AC311" s="13" t="s">
        <v>2</v>
      </c>
      <c r="AD311" s="13" t="s">
        <v>2</v>
      </c>
      <c r="AE311" s="13" t="s">
        <v>2</v>
      </c>
      <c r="AF311" s="13" t="s">
        <v>2</v>
      </c>
      <c r="AG311" s="13" t="s">
        <v>2</v>
      </c>
      <c r="AH311" s="19" t="s">
        <v>2</v>
      </c>
      <c r="AI311" s="10">
        <f t="shared" si="110"/>
        <v>0</v>
      </c>
      <c r="AJ311" s="9">
        <f t="shared" si="111"/>
        <v>43</v>
      </c>
    </row>
    <row r="312" spans="1:36" x14ac:dyDescent="0.25">
      <c r="A312" s="189" t="s">
        <v>33</v>
      </c>
      <c r="B312" s="190">
        <f t="shared" si="112"/>
        <v>43</v>
      </c>
      <c r="C312" s="246"/>
      <c r="D312" s="18" t="s">
        <v>2</v>
      </c>
      <c r="E312" s="17" t="s">
        <v>2</v>
      </c>
      <c r="F312" s="17" t="s">
        <v>2</v>
      </c>
      <c r="G312" s="17" t="s">
        <v>2</v>
      </c>
      <c r="H312" s="13" t="s">
        <v>0</v>
      </c>
      <c r="I312" s="13" t="s">
        <v>0</v>
      </c>
      <c r="J312" s="13" t="s">
        <v>0</v>
      </c>
      <c r="K312" s="17" t="s">
        <v>1</v>
      </c>
      <c r="L312" s="17" t="s">
        <v>1</v>
      </c>
      <c r="M312" s="17" t="s">
        <v>1</v>
      </c>
      <c r="N312" s="17" t="s">
        <v>1</v>
      </c>
      <c r="O312" s="17" t="s">
        <v>1</v>
      </c>
      <c r="P312" s="17" t="s">
        <v>1</v>
      </c>
      <c r="Q312" s="13" t="s">
        <v>0</v>
      </c>
      <c r="R312" s="13" t="s">
        <v>0</v>
      </c>
      <c r="S312" s="13" t="s">
        <v>0</v>
      </c>
      <c r="T312" s="17" t="s">
        <v>2</v>
      </c>
      <c r="U312" s="17" t="s">
        <v>2</v>
      </c>
      <c r="V312" s="17" t="s">
        <v>2</v>
      </c>
      <c r="W312" s="17" t="s">
        <v>2</v>
      </c>
      <c r="X312" s="17" t="s">
        <v>2</v>
      </c>
      <c r="Y312" s="17" t="s">
        <v>2</v>
      </c>
      <c r="Z312" s="17" t="s">
        <v>0</v>
      </c>
      <c r="AA312" s="17" t="s">
        <v>0</v>
      </c>
      <c r="AB312" s="17" t="s">
        <v>0</v>
      </c>
      <c r="AC312" s="17" t="s">
        <v>1</v>
      </c>
      <c r="AD312" s="17" t="s">
        <v>1</v>
      </c>
      <c r="AE312" s="17" t="s">
        <v>1</v>
      </c>
      <c r="AF312" s="17" t="s">
        <v>1</v>
      </c>
      <c r="AG312" s="17" t="s">
        <v>31</v>
      </c>
      <c r="AH312" s="20" t="s">
        <v>31</v>
      </c>
      <c r="AI312" s="10">
        <f t="shared" si="110"/>
        <v>2</v>
      </c>
      <c r="AJ312" s="9">
        <f t="shared" si="111"/>
        <v>41</v>
      </c>
    </row>
    <row r="313" spans="1:36" x14ac:dyDescent="0.25">
      <c r="A313" s="189" t="s">
        <v>40</v>
      </c>
      <c r="B313" s="190">
        <f>AJ287</f>
        <v>2</v>
      </c>
      <c r="C313" s="246"/>
      <c r="D313" s="191" t="s">
        <v>31</v>
      </c>
      <c r="E313" s="176"/>
      <c r="F313" s="176"/>
      <c r="G313" s="176" t="s">
        <v>31</v>
      </c>
      <c r="H313" s="176"/>
      <c r="I313" s="176"/>
      <c r="J313" s="176"/>
      <c r="K313" s="192"/>
      <c r="L313" s="192"/>
      <c r="M313" s="192"/>
      <c r="N313" s="175"/>
      <c r="O313" s="175"/>
      <c r="P313" s="175"/>
      <c r="Q313" s="175"/>
      <c r="R313" s="175"/>
      <c r="S313" s="175"/>
      <c r="T313" s="175"/>
      <c r="U313" s="175"/>
      <c r="V313" s="175"/>
      <c r="W313" s="176"/>
      <c r="X313" s="176"/>
      <c r="Y313" s="176"/>
      <c r="Z313" s="176"/>
      <c r="AA313" s="176"/>
      <c r="AB313" s="176"/>
      <c r="AC313" s="192"/>
      <c r="AD313" s="192"/>
      <c r="AE313" s="192"/>
      <c r="AF313" s="175"/>
      <c r="AG313" s="175"/>
      <c r="AH313" s="183"/>
      <c r="AI313" s="182"/>
      <c r="AJ313" s="179"/>
    </row>
    <row r="314" spans="1:36" x14ac:dyDescent="0.25">
      <c r="A314" s="189" t="s">
        <v>5</v>
      </c>
      <c r="B314" s="190">
        <f t="shared" si="112"/>
        <v>43</v>
      </c>
      <c r="C314" s="246"/>
      <c r="D314" s="18" t="s">
        <v>0</v>
      </c>
      <c r="E314" s="13" t="s">
        <v>2</v>
      </c>
      <c r="F314" s="13" t="s">
        <v>2</v>
      </c>
      <c r="G314" s="13" t="s">
        <v>2</v>
      </c>
      <c r="H314" s="13" t="s">
        <v>2</v>
      </c>
      <c r="I314" s="13" t="s">
        <v>2</v>
      </c>
      <c r="J314" s="13" t="s">
        <v>2</v>
      </c>
      <c r="K314" s="17" t="s">
        <v>0</v>
      </c>
      <c r="L314" s="17" t="s">
        <v>0</v>
      </c>
      <c r="M314" s="17" t="s">
        <v>0</v>
      </c>
      <c r="N314" s="12" t="s">
        <v>1</v>
      </c>
      <c r="O314" s="12" t="s">
        <v>1</v>
      </c>
      <c r="P314" s="12" t="s">
        <v>1</v>
      </c>
      <c r="Q314" s="12" t="s">
        <v>1</v>
      </c>
      <c r="R314" s="12" t="s">
        <v>1</v>
      </c>
      <c r="S314" s="12" t="s">
        <v>1</v>
      </c>
      <c r="T314" s="12" t="s">
        <v>0</v>
      </c>
      <c r="U314" s="12" t="s">
        <v>0</v>
      </c>
      <c r="V314" s="12" t="s">
        <v>0</v>
      </c>
      <c r="W314" s="13" t="s">
        <v>2</v>
      </c>
      <c r="X314" s="13" t="s">
        <v>2</v>
      </c>
      <c r="Y314" s="13" t="s">
        <v>2</v>
      </c>
      <c r="Z314" s="13" t="s">
        <v>2</v>
      </c>
      <c r="AA314" s="13" t="s">
        <v>2</v>
      </c>
      <c r="AB314" s="13" t="s">
        <v>2</v>
      </c>
      <c r="AC314" s="17" t="s">
        <v>0</v>
      </c>
      <c r="AD314" s="17" t="s">
        <v>0</v>
      </c>
      <c r="AE314" s="17" t="s">
        <v>0</v>
      </c>
      <c r="AF314" s="12" t="s">
        <v>1</v>
      </c>
      <c r="AG314" s="12" t="s">
        <v>1</v>
      </c>
      <c r="AH314" s="11" t="s">
        <v>1</v>
      </c>
      <c r="AI314" s="10">
        <f t="shared" si="110"/>
        <v>0</v>
      </c>
      <c r="AJ314" s="9">
        <f t="shared" si="111"/>
        <v>43</v>
      </c>
    </row>
    <row r="315" spans="1:36" x14ac:dyDescent="0.25">
      <c r="A315" s="189" t="s">
        <v>43</v>
      </c>
      <c r="B315" s="190"/>
      <c r="C315" s="246"/>
      <c r="D315" s="191"/>
      <c r="E315" s="176"/>
      <c r="F315" s="176"/>
      <c r="G315" s="176"/>
      <c r="H315" s="176"/>
      <c r="I315" s="176"/>
      <c r="J315" s="176"/>
      <c r="K315" s="192"/>
      <c r="L315" s="192"/>
      <c r="M315" s="192"/>
      <c r="N315" s="175"/>
      <c r="O315" s="175"/>
      <c r="P315" s="175"/>
      <c r="Q315" s="175"/>
      <c r="R315" s="175"/>
      <c r="S315" s="175"/>
      <c r="T315" s="175"/>
      <c r="U315" s="175"/>
      <c r="V315" s="175"/>
      <c r="W315" s="176"/>
      <c r="X315" s="176"/>
      <c r="Y315" s="176"/>
      <c r="Z315" s="176"/>
      <c r="AA315" s="176"/>
      <c r="AB315" s="176"/>
      <c r="AC315" s="192"/>
      <c r="AD315" s="192"/>
      <c r="AE315" s="192"/>
      <c r="AF315" s="175"/>
      <c r="AG315" s="175"/>
      <c r="AH315" s="183"/>
      <c r="AI315" s="182"/>
      <c r="AJ315" s="179"/>
    </row>
    <row r="316" spans="1:36" ht="15.75" thickBot="1" x14ac:dyDescent="0.3">
      <c r="A316" s="189" t="s">
        <v>3</v>
      </c>
      <c r="B316" s="190">
        <f t="shared" si="112"/>
        <v>43</v>
      </c>
      <c r="C316" s="246"/>
      <c r="D316" s="6" t="s">
        <v>2</v>
      </c>
      <c r="E316" s="5" t="s">
        <v>0</v>
      </c>
      <c r="F316" s="5" t="s">
        <v>0</v>
      </c>
      <c r="G316" s="5" t="s">
        <v>0</v>
      </c>
      <c r="H316" s="4" t="s">
        <v>1</v>
      </c>
      <c r="I316" s="4" t="s">
        <v>1</v>
      </c>
      <c r="J316" s="4" t="s">
        <v>1</v>
      </c>
      <c r="K316" s="4" t="s">
        <v>1</v>
      </c>
      <c r="L316" s="4" t="s">
        <v>1</v>
      </c>
      <c r="M316" s="4" t="s">
        <v>1</v>
      </c>
      <c r="N316" s="4" t="s">
        <v>0</v>
      </c>
      <c r="O316" s="4" t="s">
        <v>0</v>
      </c>
      <c r="P316" s="4" t="s">
        <v>0</v>
      </c>
      <c r="Q316" s="5" t="s">
        <v>2</v>
      </c>
      <c r="R316" s="5" t="s">
        <v>2</v>
      </c>
      <c r="S316" s="5" t="s">
        <v>2</v>
      </c>
      <c r="T316" s="5" t="s">
        <v>2</v>
      </c>
      <c r="U316" s="5" t="s">
        <v>2</v>
      </c>
      <c r="V316" s="5" t="s">
        <v>2</v>
      </c>
      <c r="W316" s="5" t="s">
        <v>0</v>
      </c>
      <c r="X316" s="5" t="s">
        <v>0</v>
      </c>
      <c r="Y316" s="5" t="s">
        <v>0</v>
      </c>
      <c r="Z316" s="4" t="s">
        <v>1</v>
      </c>
      <c r="AA316" s="4" t="s">
        <v>1</v>
      </c>
      <c r="AB316" s="4" t="s">
        <v>1</v>
      </c>
      <c r="AC316" s="4" t="s">
        <v>1</v>
      </c>
      <c r="AD316" s="4" t="s">
        <v>1</v>
      </c>
      <c r="AE316" s="4" t="s">
        <v>1</v>
      </c>
      <c r="AF316" s="4" t="s">
        <v>0</v>
      </c>
      <c r="AG316" s="4" t="s">
        <v>0</v>
      </c>
      <c r="AH316" s="3" t="s">
        <v>0</v>
      </c>
      <c r="AI316" s="2">
        <f t="shared" ref="AI316" si="121">COUNTIF(D316:AH316,"V")</f>
        <v>0</v>
      </c>
      <c r="AJ316" s="1">
        <f t="shared" ref="AJ316" si="122">B316-AI316</f>
        <v>43</v>
      </c>
    </row>
    <row r="317" spans="1:36" x14ac:dyDescent="0.25">
      <c r="A317" s="189" t="s">
        <v>39</v>
      </c>
      <c r="B317" s="190"/>
      <c r="C317" s="246"/>
      <c r="D317" s="180" t="s">
        <v>1</v>
      </c>
      <c r="E317" s="176" t="s">
        <v>0</v>
      </c>
      <c r="F317" s="176" t="s">
        <v>0</v>
      </c>
      <c r="G317" s="176" t="s">
        <v>0</v>
      </c>
      <c r="H317" s="176" t="s">
        <v>2</v>
      </c>
      <c r="I317" s="176" t="s">
        <v>2</v>
      </c>
      <c r="J317" s="176" t="s">
        <v>2</v>
      </c>
      <c r="K317" s="176" t="s">
        <v>2</v>
      </c>
      <c r="L317" s="176" t="s">
        <v>2</v>
      </c>
      <c r="M317" s="176" t="s">
        <v>2</v>
      </c>
      <c r="N317" s="176" t="s">
        <v>0</v>
      </c>
      <c r="O317" s="176" t="s">
        <v>0</v>
      </c>
      <c r="P317" s="176" t="s">
        <v>0</v>
      </c>
      <c r="Q317" s="176" t="s">
        <v>1</v>
      </c>
      <c r="R317" s="176" t="s">
        <v>1</v>
      </c>
      <c r="S317" s="176" t="s">
        <v>1</v>
      </c>
      <c r="T317" s="176" t="s">
        <v>1</v>
      </c>
      <c r="U317" s="176" t="s">
        <v>1</v>
      </c>
      <c r="V317" s="176" t="s">
        <v>1</v>
      </c>
      <c r="W317" s="176" t="s">
        <v>0</v>
      </c>
      <c r="X317" s="176" t="s">
        <v>0</v>
      </c>
      <c r="Y317" s="176" t="s">
        <v>0</v>
      </c>
      <c r="Z317" s="176" t="s">
        <v>2</v>
      </c>
      <c r="AA317" s="176" t="s">
        <v>2</v>
      </c>
      <c r="AB317" s="176" t="s">
        <v>2</v>
      </c>
      <c r="AC317" s="176" t="s">
        <v>2</v>
      </c>
      <c r="AD317" s="176" t="s">
        <v>2</v>
      </c>
      <c r="AE317" s="176" t="s">
        <v>2</v>
      </c>
      <c r="AF317" s="176" t="s">
        <v>0</v>
      </c>
      <c r="AG317" s="176" t="s">
        <v>0</v>
      </c>
      <c r="AH317" s="183" t="s">
        <v>0</v>
      </c>
      <c r="AI317" s="182"/>
      <c r="AJ317" s="179"/>
    </row>
  </sheetData>
  <sheetProtection algorithmName="SHA-512" hashValue="k236D9k6+U7CSN7OcE0Oaci8kWEKViLPGFks8co9fkflPC6VCT/N+kPiT6AW3rcyxLCIZqcVea9A+OecRdcYqA==" saltValue="KyK8e6efQcbE7fGCdqYIFw==" spinCount="100000" sheet="1" selectLockedCells="1" selectUnlockedCells="1"/>
  <mergeCells count="71">
    <mergeCell ref="A1:X2"/>
    <mergeCell ref="Y1:AJ2"/>
    <mergeCell ref="A3:A4"/>
    <mergeCell ref="B3:B4"/>
    <mergeCell ref="C3:C22"/>
    <mergeCell ref="AI3:AI4"/>
    <mergeCell ref="AJ3:AJ4"/>
    <mergeCell ref="AH9:AH22"/>
    <mergeCell ref="A24:A25"/>
    <mergeCell ref="B24:B25"/>
    <mergeCell ref="C24:C43"/>
    <mergeCell ref="AI24:AI25"/>
    <mergeCell ref="AJ24:AJ25"/>
    <mergeCell ref="A45:A46"/>
    <mergeCell ref="B45:B46"/>
    <mergeCell ref="C45:C64"/>
    <mergeCell ref="AI45:AI46"/>
    <mergeCell ref="AJ45:AJ46"/>
    <mergeCell ref="A66:A67"/>
    <mergeCell ref="B66:B67"/>
    <mergeCell ref="C66:C87"/>
    <mergeCell ref="AI66:AI67"/>
    <mergeCell ref="AJ66:AJ67"/>
    <mergeCell ref="A89:A90"/>
    <mergeCell ref="B89:B90"/>
    <mergeCell ref="C89:C110"/>
    <mergeCell ref="AI89:AI90"/>
    <mergeCell ref="AJ89:AJ90"/>
    <mergeCell ref="A112:A113"/>
    <mergeCell ref="B112:B113"/>
    <mergeCell ref="C112:C135"/>
    <mergeCell ref="AI112:AI113"/>
    <mergeCell ref="AJ112:AJ113"/>
    <mergeCell ref="D132:I132"/>
    <mergeCell ref="AH112:AH135"/>
    <mergeCell ref="A137:A138"/>
    <mergeCell ref="B137:B138"/>
    <mergeCell ref="C137:C161"/>
    <mergeCell ref="AI137:AI138"/>
    <mergeCell ref="AJ137:AJ138"/>
    <mergeCell ref="D156:E156"/>
    <mergeCell ref="A163:A164"/>
    <mergeCell ref="B163:B164"/>
    <mergeCell ref="C163:C188"/>
    <mergeCell ref="AI163:AI164"/>
    <mergeCell ref="AJ163:AJ164"/>
    <mergeCell ref="A190:A191"/>
    <mergeCell ref="B190:B191"/>
    <mergeCell ref="C190:C214"/>
    <mergeCell ref="AI190:AI191"/>
    <mergeCell ref="AJ190:AJ191"/>
    <mergeCell ref="A216:A217"/>
    <mergeCell ref="B216:B217"/>
    <mergeCell ref="AI216:AI217"/>
    <mergeCell ref="AJ216:AJ217"/>
    <mergeCell ref="C216:C240"/>
    <mergeCell ref="A242:A243"/>
    <mergeCell ref="B242:B243"/>
    <mergeCell ref="C242:C266"/>
    <mergeCell ref="AI242:AI243"/>
    <mergeCell ref="AJ242:AJ243"/>
    <mergeCell ref="A268:A269"/>
    <mergeCell ref="B268:B269"/>
    <mergeCell ref="C268:C292"/>
    <mergeCell ref="AI268:AI269"/>
    <mergeCell ref="AJ268:AJ269"/>
    <mergeCell ref="A294:A295"/>
    <mergeCell ref="B294:B295"/>
    <mergeCell ref="C294:C317"/>
    <mergeCell ref="AI294:AI295"/>
    <mergeCell ref="AJ294:AJ295"/>
  </mergeCells>
  <phoneticPr fontId="22" type="noConversion"/>
  <conditionalFormatting sqref="AJ12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{36F32B40-CC14-4C76-B393-78632656FCB0}</x14:id>
        </ext>
      </extLst>
    </cfRule>
  </conditionalFormatting>
  <conditionalFormatting sqref="AJ26:AJ36 AJ38:AJ43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{6EE45127-EB58-4FF0-B0AA-4E817396ABAE}</x14:id>
        </ext>
      </extLst>
    </cfRule>
  </conditionalFormatting>
  <conditionalFormatting sqref="AJ47:AJ57 AJ59:AJ64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{B20F1BDB-65DA-4BD9-B159-53375EE1D734}</x14:id>
        </ext>
      </extLst>
    </cfRule>
  </conditionalFormatting>
  <conditionalFormatting sqref="AJ82:AJ87 AJ68 AJ74:AJ80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{1C8FB538-7110-4999-9BF6-EA8F54A775B9}</x14:id>
        </ext>
      </extLst>
    </cfRule>
  </conditionalFormatting>
  <conditionalFormatting sqref="AJ105:AJ110 AJ91 AJ97:AJ103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{8D48885C-0F11-4C9A-8DFE-486F5DA674F0}</x14:id>
        </ext>
      </extLst>
    </cfRule>
  </conditionalFormatting>
  <conditionalFormatting sqref="AJ5:AJ11 AJ13:AJ15 AJ17:AJ22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{9AAD3CE2-5CC4-4AD2-A09D-2C4F7EE3C0A8}</x14:id>
        </ext>
      </extLst>
    </cfRule>
  </conditionalFormatting>
  <conditionalFormatting sqref="AH15 AH57 AF257:AH257 D225:F225 L225:M225 O225:AH225 D226:AH226 D281:AH281 D280:T280 X280:AH280 D255:AH255 D254:AA254 AF254:AH254 D229:AH229 D228:M228 R228:AH228 D177:AH177 D176:AC176 AH176 D150:AH150 D149:F149 D56:AH56 U55:AH55 D34:O34 T34:AH34 O202:T202 X202:AH202 K98:AH98 AH17:AH22 AH59:AH64 AH179 D23:AH33 D55:Q55 D65:AH68 D88:AH91 D111:AH112 D136:AH139 D196:AH200 D222:AH224 D95:AH97 D44:AH54 D118:AG125 D143:AH148 D248:AH252 D300:AH304 D169:AH173 D175:AH175 D306:AH307 D309:AH309 D311:AH312 D292:AH296 D317:AH317 D161:AH165 D314:AH315 D202:K202 D99:AH102 M149:AH149 H235:J235 D261:F261 M261:O261 V261:X261 AE261 D181:AH182 D5:AH14 D35:AH35 D203:AH203 D233:AH234 D240:AH244 D157:AH157 D159:AH159 D184:AH192 D207:AH212 D236:AH238 D72:AH79 D262:AH264 D113:AG114 D214:AH218 Q235:AH235 D154:AH155 D259:AH260 D266:AH270 D285:AH290 D274:AH279">
    <cfRule type="containsText" dxfId="385" priority="519" operator="containsText" text="OFF">
      <formula>NOT(ISERROR(SEARCH("OFF",D5)))</formula>
    </cfRule>
    <cfRule type="containsText" dxfId="384" priority="520" operator="containsText" text="A">
      <formula>NOT(ISERROR(SEARCH("A",D5)))</formula>
    </cfRule>
    <cfRule type="containsText" dxfId="383" priority="521" operator="containsText" text="D">
      <formula>NOT(ISERROR(SEARCH("D",D5)))</formula>
    </cfRule>
    <cfRule type="containsText" dxfId="382" priority="522" operator="containsText" text="V">
      <formula>NOT(ISERROR(SEARCH("V",D5)))</formula>
    </cfRule>
  </conditionalFormatting>
  <conditionalFormatting sqref="D15:AG15 D17:AG22">
    <cfRule type="containsText" dxfId="381" priority="508" operator="containsText" text="TRNG">
      <formula>NOT(ISERROR(SEARCH("TRNG",D15)))</formula>
    </cfRule>
    <cfRule type="containsText" dxfId="380" priority="509" operator="containsText" text="V">
      <formula>NOT(ISERROR(SEARCH("V",D15)))</formula>
    </cfRule>
    <cfRule type="containsText" dxfId="379" priority="510" operator="containsText" text="DIL">
      <formula>NOT(ISERROR(SEARCH("DIL",D15)))</formula>
    </cfRule>
    <cfRule type="containsText" dxfId="378" priority="511" operator="containsText" text="FL">
      <formula>NOT(ISERROR(SEARCH("FL",D15)))</formula>
    </cfRule>
    <cfRule type="containsText" dxfId="377" priority="512" operator="containsText" text="DT">
      <formula>NOT(ISERROR(SEARCH("DT",D15)))</formula>
    </cfRule>
    <cfRule type="containsText" dxfId="376" priority="513" operator="containsText" text="Sick">
      <formula>NOT(ISERROR(SEARCH("Sick",D15)))</formula>
    </cfRule>
    <cfRule type="containsText" dxfId="375" priority="514" operator="containsText" text="DP">
      <formula>NOT(ISERROR(SEARCH("DP",D15)))</formula>
    </cfRule>
    <cfRule type="containsText" dxfId="374" priority="515" operator="containsText" text="AP">
      <formula>NOT(ISERROR(SEARCH("AP",D15)))</formula>
    </cfRule>
    <cfRule type="containsText" dxfId="373" priority="516" operator="containsText" text="OFF">
      <formula>NOT(ISERROR(SEARCH("OFF",D15)))</formula>
    </cfRule>
    <cfRule type="containsText" dxfId="372" priority="517" operator="containsText" text="A">
      <formula>NOT(ISERROR(SEARCH("A",D15)))</formula>
    </cfRule>
    <cfRule type="containsText" dxfId="371" priority="518" operator="containsText" text="D">
      <formula>NOT(ISERROR(SEARCH("D",D15)))</formula>
    </cfRule>
  </conditionalFormatting>
  <conditionalFormatting sqref="D36:AH36 D38:AH43">
    <cfRule type="containsText" dxfId="370" priority="500" operator="containsText" text="OFF">
      <formula>NOT(ISERROR(SEARCH("OFF",D36)))</formula>
    </cfRule>
    <cfRule type="containsText" dxfId="369" priority="501" operator="containsText" text="A">
      <formula>NOT(ISERROR(SEARCH("A",D36)))</formula>
    </cfRule>
    <cfRule type="containsText" dxfId="368" priority="502" operator="containsText" text="D">
      <formula>NOT(ISERROR(SEARCH("D",D36)))</formula>
    </cfRule>
    <cfRule type="containsText" dxfId="367" priority="503" operator="containsText" text="V">
      <formula>NOT(ISERROR(SEARCH("V",D36)))</formula>
    </cfRule>
  </conditionalFormatting>
  <conditionalFormatting sqref="D57:AG57 D60:AG64 D59:AD59 AG59">
    <cfRule type="containsText" dxfId="366" priority="496" operator="containsText" text="OFF">
      <formula>NOT(ISERROR(SEARCH("OFF",D57)))</formula>
    </cfRule>
    <cfRule type="containsText" dxfId="365" priority="497" operator="containsText" text="A">
      <formula>NOT(ISERROR(SEARCH("A",D57)))</formula>
    </cfRule>
    <cfRule type="containsText" dxfId="364" priority="498" operator="containsText" text="D">
      <formula>NOT(ISERROR(SEARCH("D",D57)))</formula>
    </cfRule>
    <cfRule type="containsText" dxfId="363" priority="499" operator="containsText" text="V">
      <formula>NOT(ISERROR(SEARCH("V",D57)))</formula>
    </cfRule>
  </conditionalFormatting>
  <conditionalFormatting sqref="D80:AH80 D82:AH86 I87:AH87">
    <cfRule type="containsText" dxfId="362" priority="492" operator="containsText" text="OFF">
      <formula>NOT(ISERROR(SEARCH("OFF",D80)))</formula>
    </cfRule>
    <cfRule type="containsText" dxfId="361" priority="493" operator="containsText" text="A">
      <formula>NOT(ISERROR(SEARCH("A",D80)))</formula>
    </cfRule>
    <cfRule type="containsText" dxfId="360" priority="494" operator="containsText" text="D">
      <formula>NOT(ISERROR(SEARCH("D",D80)))</formula>
    </cfRule>
    <cfRule type="containsText" dxfId="359" priority="495" operator="containsText" text="V">
      <formula>NOT(ISERROR(SEARCH("V",D80)))</formula>
    </cfRule>
  </conditionalFormatting>
  <conditionalFormatting sqref="D103:AH103 D105:AH110">
    <cfRule type="containsText" dxfId="358" priority="488" operator="containsText" text="OFF">
      <formula>NOT(ISERROR(SEARCH("OFF",D103)))</formula>
    </cfRule>
    <cfRule type="containsText" dxfId="357" priority="489" operator="containsText" text="A">
      <formula>NOT(ISERROR(SEARCH("A",D103)))</formula>
    </cfRule>
    <cfRule type="containsText" dxfId="356" priority="490" operator="containsText" text="D">
      <formula>NOT(ISERROR(SEARCH("D",D103)))</formula>
    </cfRule>
    <cfRule type="containsText" dxfId="355" priority="491" operator="containsText" text="V">
      <formula>NOT(ISERROR(SEARCH("V",D103)))</formula>
    </cfRule>
  </conditionalFormatting>
  <conditionalFormatting sqref="D126:AG126 D133:AG133 D132 J132:AG132 D135:AG135 D128:AG131">
    <cfRule type="containsText" dxfId="354" priority="484" operator="containsText" text="OFF">
      <formula>NOT(ISERROR(SEARCH("OFF",D126)))</formula>
    </cfRule>
    <cfRule type="containsText" dxfId="353" priority="485" operator="containsText" text="A">
      <formula>NOT(ISERROR(SEARCH("A",D126)))</formula>
    </cfRule>
    <cfRule type="containsText" dxfId="352" priority="486" operator="containsText" text="D">
      <formula>NOT(ISERROR(SEARCH("D",D126)))</formula>
    </cfRule>
    <cfRule type="containsText" dxfId="351" priority="487" operator="containsText" text="V">
      <formula>NOT(ISERROR(SEARCH("V",D126)))</formula>
    </cfRule>
  </conditionalFormatting>
  <conditionalFormatting sqref="D152:AH152">
    <cfRule type="containsText" dxfId="350" priority="480" operator="containsText" text="OFF">
      <formula>NOT(ISERROR(SEARCH("OFF",D152)))</formula>
    </cfRule>
    <cfRule type="containsText" dxfId="349" priority="481" operator="containsText" text="A">
      <formula>NOT(ISERROR(SEARCH("A",D152)))</formula>
    </cfRule>
    <cfRule type="containsText" dxfId="348" priority="482" operator="containsText" text="D">
      <formula>NOT(ISERROR(SEARCH("D",D152)))</formula>
    </cfRule>
    <cfRule type="containsText" dxfId="347" priority="483" operator="containsText" text="V">
      <formula>NOT(ISERROR(SEARCH("V",D152)))</formula>
    </cfRule>
  </conditionalFormatting>
  <conditionalFormatting sqref="D179:AG179">
    <cfRule type="containsText" dxfId="346" priority="476" operator="containsText" text="OFF">
      <formula>NOT(ISERROR(SEARCH("OFF",D179)))</formula>
    </cfRule>
    <cfRule type="containsText" dxfId="345" priority="477" operator="containsText" text="A">
      <formula>NOT(ISERROR(SEARCH("A",D179)))</formula>
    </cfRule>
    <cfRule type="containsText" dxfId="344" priority="478" operator="containsText" text="D">
      <formula>NOT(ISERROR(SEARCH("D",D179)))</formula>
    </cfRule>
    <cfRule type="containsText" dxfId="343" priority="479" operator="containsText" text="V">
      <formula>NOT(ISERROR(SEARCH("V",D179)))</formula>
    </cfRule>
  </conditionalFormatting>
  <conditionalFormatting sqref="D205:AH205">
    <cfRule type="containsText" dxfId="342" priority="472" operator="containsText" text="OFF">
      <formula>NOT(ISERROR(SEARCH("OFF",D205)))</formula>
    </cfRule>
    <cfRule type="containsText" dxfId="341" priority="473" operator="containsText" text="A">
      <formula>NOT(ISERROR(SEARCH("A",D205)))</formula>
    </cfRule>
    <cfRule type="containsText" dxfId="340" priority="474" operator="containsText" text="D">
      <formula>NOT(ISERROR(SEARCH("D",D205)))</formula>
    </cfRule>
    <cfRule type="containsText" dxfId="339" priority="475" operator="containsText" text="V">
      <formula>NOT(ISERROR(SEARCH("V",D205)))</formula>
    </cfRule>
  </conditionalFormatting>
  <conditionalFormatting sqref="D231:AH231">
    <cfRule type="containsText" dxfId="338" priority="468" operator="containsText" text="OFF">
      <formula>NOT(ISERROR(SEARCH("OFF",D231)))</formula>
    </cfRule>
    <cfRule type="containsText" dxfId="337" priority="469" operator="containsText" text="A">
      <formula>NOT(ISERROR(SEARCH("A",D231)))</formula>
    </cfRule>
    <cfRule type="containsText" dxfId="336" priority="470" operator="containsText" text="D">
      <formula>NOT(ISERROR(SEARCH("D",D231)))</formula>
    </cfRule>
    <cfRule type="containsText" dxfId="335" priority="471" operator="containsText" text="V">
      <formula>NOT(ISERROR(SEARCH("V",D231)))</formula>
    </cfRule>
  </conditionalFormatting>
  <conditionalFormatting sqref="D283:AH283">
    <cfRule type="containsText" dxfId="334" priority="464" operator="containsText" text="OFF">
      <formula>NOT(ISERROR(SEARCH("OFF",D283)))</formula>
    </cfRule>
    <cfRule type="containsText" dxfId="333" priority="465" operator="containsText" text="A">
      <formula>NOT(ISERROR(SEARCH("A",D283)))</formula>
    </cfRule>
    <cfRule type="containsText" dxfId="332" priority="466" operator="containsText" text="D">
      <formula>NOT(ISERROR(SEARCH("D",D283)))</formula>
    </cfRule>
    <cfRule type="containsText" dxfId="331" priority="467" operator="containsText" text="V">
      <formula>NOT(ISERROR(SEARCH("V",D283)))</formula>
    </cfRule>
  </conditionalFormatting>
  <conditionalFormatting sqref="D257:AE257">
    <cfRule type="containsText" dxfId="330" priority="460" operator="containsText" text="OFF">
      <formula>NOT(ISERROR(SEARCH("OFF",D257)))</formula>
    </cfRule>
    <cfRule type="containsText" dxfId="329" priority="461" operator="containsText" text="A">
      <formula>NOT(ISERROR(SEARCH("A",D257)))</formula>
    </cfRule>
    <cfRule type="containsText" dxfId="328" priority="462" operator="containsText" text="D">
      <formula>NOT(ISERROR(SEARCH("D",D257)))</formula>
    </cfRule>
    <cfRule type="containsText" dxfId="327" priority="463" operator="containsText" text="V">
      <formula>NOT(ISERROR(SEARCH("V",D257)))</formula>
    </cfRule>
  </conditionalFormatting>
  <conditionalFormatting sqref="G225">
    <cfRule type="containsText" dxfId="326" priority="456" operator="containsText" text="OFF">
      <formula>NOT(ISERROR(SEARCH("OFF",G225)))</formula>
    </cfRule>
    <cfRule type="containsText" dxfId="325" priority="457" operator="containsText" text="A">
      <formula>NOT(ISERROR(SEARCH("A",G225)))</formula>
    </cfRule>
    <cfRule type="containsText" dxfId="324" priority="458" operator="containsText" text="D">
      <formula>NOT(ISERROR(SEARCH("D",G225)))</formula>
    </cfRule>
    <cfRule type="containsText" dxfId="323" priority="459" operator="containsText" text="V">
      <formula>NOT(ISERROR(SEARCH("V",G225)))</formula>
    </cfRule>
  </conditionalFormatting>
  <conditionalFormatting sqref="N225">
    <cfRule type="containsText" dxfId="322" priority="452" operator="containsText" text="OFF">
      <formula>NOT(ISERROR(SEARCH("OFF",N225)))</formula>
    </cfRule>
    <cfRule type="containsText" dxfId="321" priority="453" operator="containsText" text="A">
      <formula>NOT(ISERROR(SEARCH("A",N225)))</formula>
    </cfRule>
    <cfRule type="containsText" dxfId="320" priority="454" operator="containsText" text="D">
      <formula>NOT(ISERROR(SEARCH("D",N225)))</formula>
    </cfRule>
    <cfRule type="containsText" dxfId="319" priority="455" operator="containsText" text="V">
      <formula>NOT(ISERROR(SEARCH("V",N225)))</formula>
    </cfRule>
  </conditionalFormatting>
  <conditionalFormatting sqref="H225:K225">
    <cfRule type="containsText" dxfId="318" priority="448" operator="containsText" text="OFF">
      <formula>NOT(ISERROR(SEARCH("OFF",H225)))</formula>
    </cfRule>
    <cfRule type="containsText" dxfId="317" priority="449" operator="containsText" text="A">
      <formula>NOT(ISERROR(SEARCH("A",H225)))</formula>
    </cfRule>
    <cfRule type="containsText" dxfId="316" priority="450" operator="containsText" text="D">
      <formula>NOT(ISERROR(SEARCH("D",H225)))</formula>
    </cfRule>
    <cfRule type="containsText" dxfId="315" priority="451" operator="containsText" text="V">
      <formula>NOT(ISERROR(SEARCH("V",H225)))</formula>
    </cfRule>
  </conditionalFormatting>
  <conditionalFormatting sqref="U280:W280">
    <cfRule type="containsText" dxfId="314" priority="444" operator="containsText" text="OFF">
      <formula>NOT(ISERROR(SEARCH("OFF",U280)))</formula>
    </cfRule>
    <cfRule type="containsText" dxfId="313" priority="445" operator="containsText" text="A">
      <formula>NOT(ISERROR(SEARCH("A",U280)))</formula>
    </cfRule>
    <cfRule type="containsText" dxfId="312" priority="446" operator="containsText" text="D">
      <formula>NOT(ISERROR(SEARCH("D",U280)))</formula>
    </cfRule>
    <cfRule type="containsText" dxfId="311" priority="447" operator="containsText" text="V">
      <formula>NOT(ISERROR(SEARCH("V",U280)))</formula>
    </cfRule>
  </conditionalFormatting>
  <conditionalFormatting sqref="AB254:AE254">
    <cfRule type="containsText" dxfId="310" priority="440" operator="containsText" text="OFF">
      <formula>NOT(ISERROR(SEARCH("OFF",AB254)))</formula>
    </cfRule>
    <cfRule type="containsText" dxfId="309" priority="441" operator="containsText" text="A">
      <formula>NOT(ISERROR(SEARCH("A",AB254)))</formula>
    </cfRule>
    <cfRule type="containsText" dxfId="308" priority="442" operator="containsText" text="D">
      <formula>NOT(ISERROR(SEARCH("D",AB254)))</formula>
    </cfRule>
    <cfRule type="containsText" dxfId="307" priority="443" operator="containsText" text="V">
      <formula>NOT(ISERROR(SEARCH("V",AB254)))</formula>
    </cfRule>
  </conditionalFormatting>
  <conditionalFormatting sqref="N228:Q228">
    <cfRule type="containsText" dxfId="306" priority="436" operator="containsText" text="OFF">
      <formula>NOT(ISERROR(SEARCH("OFF",N228)))</formula>
    </cfRule>
    <cfRule type="containsText" dxfId="305" priority="437" operator="containsText" text="A">
      <formula>NOT(ISERROR(SEARCH("A",N228)))</formula>
    </cfRule>
    <cfRule type="containsText" dxfId="304" priority="438" operator="containsText" text="D">
      <formula>NOT(ISERROR(SEARCH("D",N228)))</formula>
    </cfRule>
    <cfRule type="containsText" dxfId="303" priority="439" operator="containsText" text="V">
      <formula>NOT(ISERROR(SEARCH("V",N228)))</formula>
    </cfRule>
  </conditionalFormatting>
  <conditionalFormatting sqref="G149:L149">
    <cfRule type="containsText" dxfId="302" priority="424" operator="containsText" text="OFF">
      <formula>NOT(ISERROR(SEARCH("OFF",G149)))</formula>
    </cfRule>
    <cfRule type="containsText" dxfId="301" priority="425" operator="containsText" text="A">
      <formula>NOT(ISERROR(SEARCH("A",G149)))</formula>
    </cfRule>
    <cfRule type="containsText" dxfId="300" priority="426" operator="containsText" text="D">
      <formula>NOT(ISERROR(SEARCH("D",G149)))</formula>
    </cfRule>
    <cfRule type="containsText" dxfId="299" priority="427" operator="containsText" text="V">
      <formula>NOT(ISERROR(SEARCH("V",G149)))</formula>
    </cfRule>
  </conditionalFormatting>
  <conditionalFormatting sqref="R55:T55">
    <cfRule type="containsText" dxfId="298" priority="416" operator="containsText" text="OFF">
      <formula>NOT(ISERROR(SEARCH("OFF",R55)))</formula>
    </cfRule>
    <cfRule type="containsText" dxfId="297" priority="417" operator="containsText" text="A">
      <formula>NOT(ISERROR(SEARCH("A",R55)))</formula>
    </cfRule>
    <cfRule type="containsText" dxfId="296" priority="418" operator="containsText" text="D">
      <formula>NOT(ISERROR(SEARCH("D",R55)))</formula>
    </cfRule>
    <cfRule type="containsText" dxfId="295" priority="419" operator="containsText" text="V">
      <formula>NOT(ISERROR(SEARCH("V",R55)))</formula>
    </cfRule>
  </conditionalFormatting>
  <conditionalFormatting sqref="P34:S34">
    <cfRule type="containsText" dxfId="294" priority="412" operator="containsText" text="OFF">
      <formula>NOT(ISERROR(SEARCH("OFF",P34)))</formula>
    </cfRule>
    <cfRule type="containsText" dxfId="293" priority="413" operator="containsText" text="A">
      <formula>NOT(ISERROR(SEARCH("A",P34)))</formula>
    </cfRule>
    <cfRule type="containsText" dxfId="292" priority="414" operator="containsText" text="D">
      <formula>NOT(ISERROR(SEARCH("D",P34)))</formula>
    </cfRule>
    <cfRule type="containsText" dxfId="291" priority="415" operator="containsText" text="V">
      <formula>NOT(ISERROR(SEARCH("V",P34)))</formula>
    </cfRule>
  </conditionalFormatting>
  <conditionalFormatting sqref="D87:H87">
    <cfRule type="containsText" dxfId="290" priority="408" operator="containsText" text="OFF">
      <formula>NOT(ISERROR(SEARCH("OFF",D87)))</formula>
    </cfRule>
    <cfRule type="containsText" dxfId="289" priority="409" operator="containsText" text="A">
      <formula>NOT(ISERROR(SEARCH("A",D87)))</formula>
    </cfRule>
    <cfRule type="containsText" dxfId="288" priority="410" operator="containsText" text="D">
      <formula>NOT(ISERROR(SEARCH("D",D87)))</formula>
    </cfRule>
    <cfRule type="containsText" dxfId="287" priority="411" operator="containsText" text="V">
      <formula>NOT(ISERROR(SEARCH("V",D87)))</formula>
    </cfRule>
  </conditionalFormatting>
  <conditionalFormatting sqref="AD176:AF176">
    <cfRule type="containsText" dxfId="286" priority="404" operator="containsText" text="OFF">
      <formula>NOT(ISERROR(SEARCH("OFF",AD176)))</formula>
    </cfRule>
    <cfRule type="containsText" dxfId="285" priority="405" operator="containsText" text="A">
      <formula>NOT(ISERROR(SEARCH("A",AD176)))</formula>
    </cfRule>
    <cfRule type="containsText" dxfId="284" priority="406" operator="containsText" text="D">
      <formula>NOT(ISERROR(SEARCH("D",AD176)))</formula>
    </cfRule>
    <cfRule type="containsText" dxfId="283" priority="407" operator="containsText" text="V">
      <formula>NOT(ISERROR(SEARCH("V",AD176)))</formula>
    </cfRule>
  </conditionalFormatting>
  <conditionalFormatting sqref="AG176">
    <cfRule type="containsText" dxfId="282" priority="400" operator="containsText" text="OFF">
      <formula>NOT(ISERROR(SEARCH("OFF",AG176)))</formula>
    </cfRule>
    <cfRule type="containsText" dxfId="281" priority="401" operator="containsText" text="A">
      <formula>NOT(ISERROR(SEARCH("A",AG176)))</formula>
    </cfRule>
    <cfRule type="containsText" dxfId="280" priority="402" operator="containsText" text="D">
      <formula>NOT(ISERROR(SEARCH("D",AG176)))</formula>
    </cfRule>
    <cfRule type="containsText" dxfId="279" priority="403" operator="containsText" text="V">
      <formula>NOT(ISERROR(SEARCH("V",AG176)))</formula>
    </cfRule>
  </conditionalFormatting>
  <conditionalFormatting sqref="L202:N202">
    <cfRule type="containsText" dxfId="278" priority="396" operator="containsText" text="OFF">
      <formula>NOT(ISERROR(SEARCH("OFF",L202)))</formula>
    </cfRule>
    <cfRule type="containsText" dxfId="277" priority="397" operator="containsText" text="A">
      <formula>NOT(ISERROR(SEARCH("A",L202)))</formula>
    </cfRule>
    <cfRule type="containsText" dxfId="276" priority="398" operator="containsText" text="D">
      <formula>NOT(ISERROR(SEARCH("D",L202)))</formula>
    </cfRule>
    <cfRule type="containsText" dxfId="275" priority="399" operator="containsText" text="V">
      <formula>NOT(ISERROR(SEARCH("V",L202)))</formula>
    </cfRule>
  </conditionalFormatting>
  <conditionalFormatting sqref="U202:W202">
    <cfRule type="containsText" dxfId="274" priority="392" operator="containsText" text="OFF">
      <formula>NOT(ISERROR(SEARCH("OFF",U202)))</formula>
    </cfRule>
    <cfRule type="containsText" dxfId="273" priority="393" operator="containsText" text="A">
      <formula>NOT(ISERROR(SEARCH("A",U202)))</formula>
    </cfRule>
    <cfRule type="containsText" dxfId="272" priority="394" operator="containsText" text="D">
      <formula>NOT(ISERROR(SEARCH("D",U202)))</formula>
    </cfRule>
    <cfRule type="containsText" dxfId="271" priority="395" operator="containsText" text="V">
      <formula>NOT(ISERROR(SEARCH("V",U202)))</formula>
    </cfRule>
  </conditionalFormatting>
  <conditionalFormatting sqref="D98:J98">
    <cfRule type="containsText" dxfId="270" priority="388" operator="containsText" text="OFF">
      <formula>NOT(ISERROR(SEARCH("OFF",D98)))</formula>
    </cfRule>
    <cfRule type="containsText" dxfId="269" priority="389" operator="containsText" text="A">
      <formula>NOT(ISERROR(SEARCH("A",D98)))</formula>
    </cfRule>
    <cfRule type="containsText" dxfId="268" priority="390" operator="containsText" text="D">
      <formula>NOT(ISERROR(SEARCH("D",D98)))</formula>
    </cfRule>
    <cfRule type="containsText" dxfId="267" priority="391" operator="containsText" text="V">
      <formula>NOT(ISERROR(SEARCH("V",D98)))</formula>
    </cfRule>
  </conditionalFormatting>
  <conditionalFormatting sqref="AJ16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{6AE6ACA8-8C0F-46A5-AD46-96D142803744}</x14:id>
        </ext>
      </extLst>
    </cfRule>
  </conditionalFormatting>
  <conditionalFormatting sqref="AH16">
    <cfRule type="containsText" dxfId="266" priority="383" operator="containsText" text="OFF">
      <formula>NOT(ISERROR(SEARCH("OFF",AH16)))</formula>
    </cfRule>
    <cfRule type="containsText" dxfId="265" priority="384" operator="containsText" text="A">
      <formula>NOT(ISERROR(SEARCH("A",AH16)))</formula>
    </cfRule>
    <cfRule type="containsText" dxfId="264" priority="385" operator="containsText" text="D">
      <formula>NOT(ISERROR(SEARCH("D",AH16)))</formula>
    </cfRule>
    <cfRule type="containsText" dxfId="263" priority="386" operator="containsText" text="V">
      <formula>NOT(ISERROR(SEARCH("V",AH16)))</formula>
    </cfRule>
  </conditionalFormatting>
  <conditionalFormatting sqref="D16:AG16">
    <cfRule type="containsText" dxfId="262" priority="372" operator="containsText" text="TRNG">
      <formula>NOT(ISERROR(SEARCH("TRNG",D16)))</formula>
    </cfRule>
    <cfRule type="containsText" dxfId="261" priority="373" operator="containsText" text="V">
      <formula>NOT(ISERROR(SEARCH("V",D16)))</formula>
    </cfRule>
    <cfRule type="containsText" dxfId="260" priority="374" operator="containsText" text="DIL">
      <formula>NOT(ISERROR(SEARCH("DIL",D16)))</formula>
    </cfRule>
    <cfRule type="containsText" dxfId="259" priority="375" operator="containsText" text="FL">
      <formula>NOT(ISERROR(SEARCH("FL",D16)))</formula>
    </cfRule>
    <cfRule type="containsText" dxfId="258" priority="376" operator="containsText" text="DT">
      <formula>NOT(ISERROR(SEARCH("DT",D16)))</formula>
    </cfRule>
    <cfRule type="containsText" dxfId="257" priority="377" operator="containsText" text="Sick">
      <formula>NOT(ISERROR(SEARCH("Sick",D16)))</formula>
    </cfRule>
    <cfRule type="containsText" dxfId="256" priority="378" operator="containsText" text="DP">
      <formula>NOT(ISERROR(SEARCH("DP",D16)))</formula>
    </cfRule>
    <cfRule type="containsText" dxfId="255" priority="379" operator="containsText" text="AP">
      <formula>NOT(ISERROR(SEARCH("AP",D16)))</formula>
    </cfRule>
    <cfRule type="containsText" dxfId="254" priority="380" operator="containsText" text="OFF">
      <formula>NOT(ISERROR(SEARCH("OFF",D16)))</formula>
    </cfRule>
    <cfRule type="containsText" dxfId="253" priority="381" operator="containsText" text="A">
      <formula>NOT(ISERROR(SEARCH("A",D16)))</formula>
    </cfRule>
    <cfRule type="containsText" dxfId="252" priority="382" operator="containsText" text="D">
      <formula>NOT(ISERROR(SEARCH("D",D16)))</formula>
    </cfRule>
  </conditionalFormatting>
  <conditionalFormatting sqref="AJ37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{2AA4A822-4135-4197-8362-F9E4BB0A3C7D}</x14:id>
        </ext>
      </extLst>
    </cfRule>
  </conditionalFormatting>
  <conditionalFormatting sqref="D37:AH37">
    <cfRule type="containsText" dxfId="251" priority="367" operator="containsText" text="OFF">
      <formula>NOT(ISERROR(SEARCH("OFF",D37)))</formula>
    </cfRule>
    <cfRule type="containsText" dxfId="250" priority="368" operator="containsText" text="A">
      <formula>NOT(ISERROR(SEARCH("A",D37)))</formula>
    </cfRule>
    <cfRule type="containsText" dxfId="249" priority="369" operator="containsText" text="D">
      <formula>NOT(ISERROR(SEARCH("D",D37)))</formula>
    </cfRule>
    <cfRule type="containsText" dxfId="248" priority="370" operator="containsText" text="V">
      <formula>NOT(ISERROR(SEARCH("V",D37)))</formula>
    </cfRule>
  </conditionalFormatting>
  <conditionalFormatting sqref="AJ58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{9A4069EC-F9E3-4CE4-9225-B630B1DE20A2}</x14:id>
        </ext>
      </extLst>
    </cfRule>
  </conditionalFormatting>
  <conditionalFormatting sqref="AH58">
    <cfRule type="containsText" dxfId="247" priority="362" operator="containsText" text="OFF">
      <formula>NOT(ISERROR(SEARCH("OFF",AH58)))</formula>
    </cfRule>
    <cfRule type="containsText" dxfId="246" priority="363" operator="containsText" text="A">
      <formula>NOT(ISERROR(SEARCH("A",AH58)))</formula>
    </cfRule>
    <cfRule type="containsText" dxfId="245" priority="364" operator="containsText" text="D">
      <formula>NOT(ISERROR(SEARCH("D",AH58)))</formula>
    </cfRule>
    <cfRule type="containsText" dxfId="244" priority="365" operator="containsText" text="V">
      <formula>NOT(ISERROR(SEARCH("V",AH58)))</formula>
    </cfRule>
  </conditionalFormatting>
  <conditionalFormatting sqref="D58:AG58 AE59:AF59">
    <cfRule type="containsText" dxfId="243" priority="358" operator="containsText" text="OFF">
      <formula>NOT(ISERROR(SEARCH("OFF",D58)))</formula>
    </cfRule>
    <cfRule type="containsText" dxfId="242" priority="359" operator="containsText" text="A">
      <formula>NOT(ISERROR(SEARCH("A",D58)))</formula>
    </cfRule>
    <cfRule type="containsText" dxfId="241" priority="360" operator="containsText" text="D">
      <formula>NOT(ISERROR(SEARCH("D",D58)))</formula>
    </cfRule>
    <cfRule type="containsText" dxfId="240" priority="361" operator="containsText" text="V">
      <formula>NOT(ISERROR(SEARCH("V",D58)))</formula>
    </cfRule>
  </conditionalFormatting>
  <conditionalFormatting sqref="AJ81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{856626B0-2AD8-4862-8CD8-156E3AC1C2F6}</x14:id>
        </ext>
      </extLst>
    </cfRule>
  </conditionalFormatting>
  <conditionalFormatting sqref="D81:AH81">
    <cfRule type="containsText" dxfId="239" priority="353" operator="containsText" text="OFF">
      <formula>NOT(ISERROR(SEARCH("OFF",D81)))</formula>
    </cfRule>
    <cfRule type="containsText" dxfId="238" priority="354" operator="containsText" text="A">
      <formula>NOT(ISERROR(SEARCH("A",D81)))</formula>
    </cfRule>
    <cfRule type="containsText" dxfId="237" priority="355" operator="containsText" text="D">
      <formula>NOT(ISERROR(SEARCH("D",D81)))</formula>
    </cfRule>
    <cfRule type="containsText" dxfId="236" priority="356" operator="containsText" text="V">
      <formula>NOT(ISERROR(SEARCH("V",D81)))</formula>
    </cfRule>
  </conditionalFormatting>
  <conditionalFormatting sqref="AJ104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{178CA173-AB7F-4F31-B5E1-7F06B4AE5D58}</x14:id>
        </ext>
      </extLst>
    </cfRule>
  </conditionalFormatting>
  <conditionalFormatting sqref="D104:AH104">
    <cfRule type="containsText" dxfId="235" priority="348" operator="containsText" text="OFF">
      <formula>NOT(ISERROR(SEARCH("OFF",D104)))</formula>
    </cfRule>
    <cfRule type="containsText" dxfId="234" priority="349" operator="containsText" text="A">
      <formula>NOT(ISERROR(SEARCH("A",D104)))</formula>
    </cfRule>
    <cfRule type="containsText" dxfId="233" priority="350" operator="containsText" text="D">
      <formula>NOT(ISERROR(SEARCH("D",D104)))</formula>
    </cfRule>
    <cfRule type="containsText" dxfId="232" priority="351" operator="containsText" text="V">
      <formula>NOT(ISERROR(SEARCH("V",D104)))</formula>
    </cfRule>
  </conditionalFormatting>
  <conditionalFormatting sqref="D127:AG127">
    <cfRule type="containsText" dxfId="231" priority="339" operator="containsText" text="OFF">
      <formula>NOT(ISERROR(SEARCH("OFF",D127)))</formula>
    </cfRule>
    <cfRule type="containsText" dxfId="230" priority="340" operator="containsText" text="A">
      <formula>NOT(ISERROR(SEARCH("A",D127)))</formula>
    </cfRule>
    <cfRule type="containsText" dxfId="229" priority="341" operator="containsText" text="D">
      <formula>NOT(ISERROR(SEARCH("D",D127)))</formula>
    </cfRule>
    <cfRule type="containsText" dxfId="228" priority="342" operator="containsText" text="V">
      <formula>NOT(ISERROR(SEARCH("V",D127)))</formula>
    </cfRule>
  </conditionalFormatting>
  <conditionalFormatting sqref="AJ127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{FF2CDC7B-B3E0-4F1D-BCB6-D138BCC727B5}</x14:id>
        </ext>
      </extLst>
    </cfRule>
  </conditionalFormatting>
  <conditionalFormatting sqref="AJ69:AJ73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{C688D765-1C0A-4AD7-BA0D-88CFDE3C4A71}</x14:id>
        </ext>
      </extLst>
    </cfRule>
  </conditionalFormatting>
  <conditionalFormatting sqref="D69:AH70">
    <cfRule type="containsText" dxfId="227" priority="291" operator="containsText" text="OFF">
      <formula>NOT(ISERROR(SEARCH("OFF",D69)))</formula>
    </cfRule>
    <cfRule type="containsText" dxfId="226" priority="292" operator="containsText" text="A">
      <formula>NOT(ISERROR(SEARCH("A",D69)))</formula>
    </cfRule>
    <cfRule type="containsText" dxfId="225" priority="293" operator="containsText" text="D">
      <formula>NOT(ISERROR(SEARCH("D",D69)))</formula>
    </cfRule>
    <cfRule type="containsText" dxfId="224" priority="294" operator="containsText" text="V">
      <formula>NOT(ISERROR(SEARCH("V",D69)))</formula>
    </cfRule>
  </conditionalFormatting>
  <conditionalFormatting sqref="AJ92:AJ96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{B37F3CBB-A31D-436B-A3CB-86DE71029C6D}</x14:id>
        </ext>
      </extLst>
    </cfRule>
  </conditionalFormatting>
  <conditionalFormatting sqref="D92:AH93">
    <cfRule type="containsText" dxfId="223" priority="286" operator="containsText" text="OFF">
      <formula>NOT(ISERROR(SEARCH("OFF",D92)))</formula>
    </cfRule>
    <cfRule type="containsText" dxfId="222" priority="287" operator="containsText" text="A">
      <formula>NOT(ISERROR(SEARCH("A",D92)))</formula>
    </cfRule>
    <cfRule type="containsText" dxfId="221" priority="288" operator="containsText" text="D">
      <formula>NOT(ISERROR(SEARCH("D",D92)))</formula>
    </cfRule>
    <cfRule type="containsText" dxfId="220" priority="289" operator="containsText" text="V">
      <formula>NOT(ISERROR(SEARCH("V",D92)))</formula>
    </cfRule>
  </conditionalFormatting>
  <conditionalFormatting sqref="D71:AH71">
    <cfRule type="containsText" dxfId="219" priority="281" operator="containsText" text="OFF">
      <formula>NOT(ISERROR(SEARCH("OFF",D71)))</formula>
    </cfRule>
    <cfRule type="containsText" dxfId="218" priority="282" operator="containsText" text="A">
      <formula>NOT(ISERROR(SEARCH("A",D71)))</formula>
    </cfRule>
    <cfRule type="containsText" dxfId="217" priority="283" operator="containsText" text="D">
      <formula>NOT(ISERROR(SEARCH("D",D71)))</formula>
    </cfRule>
    <cfRule type="containsText" dxfId="216" priority="284" operator="containsText" text="V">
      <formula>NOT(ISERROR(SEARCH("V",D71)))</formula>
    </cfRule>
  </conditionalFormatting>
  <conditionalFormatting sqref="D94:AH94">
    <cfRule type="containsText" dxfId="215" priority="276" operator="containsText" text="OFF">
      <formula>NOT(ISERROR(SEARCH("OFF",D94)))</formula>
    </cfRule>
    <cfRule type="containsText" dxfId="214" priority="277" operator="containsText" text="A">
      <formula>NOT(ISERROR(SEARCH("A",D94)))</formula>
    </cfRule>
    <cfRule type="containsText" dxfId="213" priority="278" operator="containsText" text="D">
      <formula>NOT(ISERROR(SEARCH("D",D94)))</formula>
    </cfRule>
    <cfRule type="containsText" dxfId="212" priority="279" operator="containsText" text="V">
      <formula>NOT(ISERROR(SEARCH("V",D94)))</formula>
    </cfRule>
  </conditionalFormatting>
  <conditionalFormatting sqref="AJ115:AJ119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{2D53CEAD-1855-416E-9166-83345553836D}</x14:id>
        </ext>
      </extLst>
    </cfRule>
  </conditionalFormatting>
  <conditionalFormatting sqref="D115:AG116">
    <cfRule type="containsText" dxfId="211" priority="271" operator="containsText" text="OFF">
      <formula>NOT(ISERROR(SEARCH("OFF",D115)))</formula>
    </cfRule>
    <cfRule type="containsText" dxfId="210" priority="272" operator="containsText" text="A">
      <formula>NOT(ISERROR(SEARCH("A",D115)))</formula>
    </cfRule>
    <cfRule type="containsText" dxfId="209" priority="273" operator="containsText" text="D">
      <formula>NOT(ISERROR(SEARCH("D",D115)))</formula>
    </cfRule>
    <cfRule type="containsText" dxfId="208" priority="274" operator="containsText" text="V">
      <formula>NOT(ISERROR(SEARCH("V",D115)))</formula>
    </cfRule>
  </conditionalFormatting>
  <conditionalFormatting sqref="D117:AG117">
    <cfRule type="containsText" dxfId="207" priority="266" operator="containsText" text="OFF">
      <formula>NOT(ISERROR(SEARCH("OFF",D117)))</formula>
    </cfRule>
    <cfRule type="containsText" dxfId="206" priority="267" operator="containsText" text="A">
      <formula>NOT(ISERROR(SEARCH("A",D117)))</formula>
    </cfRule>
    <cfRule type="containsText" dxfId="205" priority="268" operator="containsText" text="D">
      <formula>NOT(ISERROR(SEARCH("D",D117)))</formula>
    </cfRule>
    <cfRule type="containsText" dxfId="204" priority="269" operator="containsText" text="V">
      <formula>NOT(ISERROR(SEARCH("V",D117)))</formula>
    </cfRule>
  </conditionalFormatting>
  <conditionalFormatting sqref="AJ140:AJ144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{4FD2A847-FCEC-4CF2-949E-26C94C415EA1}</x14:id>
        </ext>
      </extLst>
    </cfRule>
  </conditionalFormatting>
  <conditionalFormatting sqref="D140:AH141">
    <cfRule type="containsText" dxfId="203" priority="261" operator="containsText" text="OFF">
      <formula>NOT(ISERROR(SEARCH("OFF",D140)))</formula>
    </cfRule>
    <cfRule type="containsText" dxfId="202" priority="262" operator="containsText" text="A">
      <formula>NOT(ISERROR(SEARCH("A",D140)))</formula>
    </cfRule>
    <cfRule type="containsText" dxfId="201" priority="263" operator="containsText" text="D">
      <formula>NOT(ISERROR(SEARCH("D",D140)))</formula>
    </cfRule>
    <cfRule type="containsText" dxfId="200" priority="264" operator="containsText" text="V">
      <formula>NOT(ISERROR(SEARCH("V",D140)))</formula>
    </cfRule>
  </conditionalFormatting>
  <conditionalFormatting sqref="D142:AH142">
    <cfRule type="containsText" dxfId="199" priority="256" operator="containsText" text="OFF">
      <formula>NOT(ISERROR(SEARCH("OFF",D142)))</formula>
    </cfRule>
    <cfRule type="containsText" dxfId="198" priority="257" operator="containsText" text="A">
      <formula>NOT(ISERROR(SEARCH("A",D142)))</formula>
    </cfRule>
    <cfRule type="containsText" dxfId="197" priority="258" operator="containsText" text="D">
      <formula>NOT(ISERROR(SEARCH("D",D142)))</formula>
    </cfRule>
    <cfRule type="containsText" dxfId="196" priority="259" operator="containsText" text="V">
      <formula>NOT(ISERROR(SEARCH("V",D142)))</formula>
    </cfRule>
  </conditionalFormatting>
  <conditionalFormatting sqref="D166:AH167">
    <cfRule type="containsText" dxfId="195" priority="251" operator="containsText" text="OFF">
      <formula>NOT(ISERROR(SEARCH("OFF",D166)))</formula>
    </cfRule>
    <cfRule type="containsText" dxfId="194" priority="252" operator="containsText" text="A">
      <formula>NOT(ISERROR(SEARCH("A",D166)))</formula>
    </cfRule>
    <cfRule type="containsText" dxfId="193" priority="253" operator="containsText" text="D">
      <formula>NOT(ISERROR(SEARCH("D",D166)))</formula>
    </cfRule>
    <cfRule type="containsText" dxfId="192" priority="254" operator="containsText" text="V">
      <formula>NOT(ISERROR(SEARCH("V",D166)))</formula>
    </cfRule>
  </conditionalFormatting>
  <conditionalFormatting sqref="D168:AH168">
    <cfRule type="containsText" dxfId="191" priority="246" operator="containsText" text="OFF">
      <formula>NOT(ISERROR(SEARCH("OFF",D168)))</formula>
    </cfRule>
    <cfRule type="containsText" dxfId="190" priority="247" operator="containsText" text="A">
      <formula>NOT(ISERROR(SEARCH("A",D168)))</formula>
    </cfRule>
    <cfRule type="containsText" dxfId="189" priority="248" operator="containsText" text="D">
      <formula>NOT(ISERROR(SEARCH("D",D168)))</formula>
    </cfRule>
    <cfRule type="containsText" dxfId="188" priority="249" operator="containsText" text="V">
      <formula>NOT(ISERROR(SEARCH("V",D168)))</formula>
    </cfRule>
  </conditionalFormatting>
  <conditionalFormatting sqref="AJ193:AJ197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{92452CAF-8521-434E-8136-10FADEE77A57}</x14:id>
        </ext>
      </extLst>
    </cfRule>
  </conditionalFormatting>
  <conditionalFormatting sqref="D193:AH194">
    <cfRule type="containsText" dxfId="187" priority="241" operator="containsText" text="OFF">
      <formula>NOT(ISERROR(SEARCH("OFF",D193)))</formula>
    </cfRule>
    <cfRule type="containsText" dxfId="186" priority="242" operator="containsText" text="A">
      <formula>NOT(ISERROR(SEARCH("A",D193)))</formula>
    </cfRule>
    <cfRule type="containsText" dxfId="185" priority="243" operator="containsText" text="D">
      <formula>NOT(ISERROR(SEARCH("D",D193)))</formula>
    </cfRule>
    <cfRule type="containsText" dxfId="184" priority="244" operator="containsText" text="V">
      <formula>NOT(ISERROR(SEARCH("V",D193)))</formula>
    </cfRule>
  </conditionalFormatting>
  <conditionalFormatting sqref="D195:AH195">
    <cfRule type="containsText" dxfId="183" priority="236" operator="containsText" text="OFF">
      <formula>NOT(ISERROR(SEARCH("OFF",D195)))</formula>
    </cfRule>
    <cfRule type="containsText" dxfId="182" priority="237" operator="containsText" text="A">
      <formula>NOT(ISERROR(SEARCH("A",D195)))</formula>
    </cfRule>
    <cfRule type="containsText" dxfId="181" priority="238" operator="containsText" text="D">
      <formula>NOT(ISERROR(SEARCH("D",D195)))</formula>
    </cfRule>
    <cfRule type="containsText" dxfId="180" priority="239" operator="containsText" text="V">
      <formula>NOT(ISERROR(SEARCH("V",D195)))</formula>
    </cfRule>
  </conditionalFormatting>
  <conditionalFormatting sqref="AJ219:AJ223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{10B078E7-3DC2-4A59-B378-05DADAD9DB1E}</x14:id>
        </ext>
      </extLst>
    </cfRule>
  </conditionalFormatting>
  <conditionalFormatting sqref="D219:AH220">
    <cfRule type="containsText" dxfId="179" priority="231" operator="containsText" text="OFF">
      <formula>NOT(ISERROR(SEARCH("OFF",D219)))</formula>
    </cfRule>
    <cfRule type="containsText" dxfId="178" priority="232" operator="containsText" text="A">
      <formula>NOT(ISERROR(SEARCH("A",D219)))</formula>
    </cfRule>
    <cfRule type="containsText" dxfId="177" priority="233" operator="containsText" text="D">
      <formula>NOT(ISERROR(SEARCH("D",D219)))</formula>
    </cfRule>
    <cfRule type="containsText" dxfId="176" priority="234" operator="containsText" text="V">
      <formula>NOT(ISERROR(SEARCH("V",D219)))</formula>
    </cfRule>
  </conditionalFormatting>
  <conditionalFormatting sqref="D221:AH221">
    <cfRule type="containsText" dxfId="175" priority="226" operator="containsText" text="OFF">
      <formula>NOT(ISERROR(SEARCH("OFF",D221)))</formula>
    </cfRule>
    <cfRule type="containsText" dxfId="174" priority="227" operator="containsText" text="A">
      <formula>NOT(ISERROR(SEARCH("A",D221)))</formula>
    </cfRule>
    <cfRule type="containsText" dxfId="173" priority="228" operator="containsText" text="D">
      <formula>NOT(ISERROR(SEARCH("D",D221)))</formula>
    </cfRule>
    <cfRule type="containsText" dxfId="172" priority="229" operator="containsText" text="V">
      <formula>NOT(ISERROR(SEARCH("V",D221)))</formula>
    </cfRule>
  </conditionalFormatting>
  <conditionalFormatting sqref="AJ245:AJ24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{B3C14E44-7F03-4D7D-97A6-3055192134EF}</x14:id>
        </ext>
      </extLst>
    </cfRule>
  </conditionalFormatting>
  <conditionalFormatting sqref="D245:AH246">
    <cfRule type="containsText" dxfId="171" priority="221" operator="containsText" text="OFF">
      <formula>NOT(ISERROR(SEARCH("OFF",D245)))</formula>
    </cfRule>
    <cfRule type="containsText" dxfId="170" priority="222" operator="containsText" text="A">
      <formula>NOT(ISERROR(SEARCH("A",D245)))</formula>
    </cfRule>
    <cfRule type="containsText" dxfId="169" priority="223" operator="containsText" text="D">
      <formula>NOT(ISERROR(SEARCH("D",D245)))</formula>
    </cfRule>
    <cfRule type="containsText" dxfId="168" priority="224" operator="containsText" text="V">
      <formula>NOT(ISERROR(SEARCH("V",D245)))</formula>
    </cfRule>
  </conditionalFormatting>
  <conditionalFormatting sqref="D247:AH247">
    <cfRule type="containsText" dxfId="167" priority="216" operator="containsText" text="OFF">
      <formula>NOT(ISERROR(SEARCH("OFF",D247)))</formula>
    </cfRule>
    <cfRule type="containsText" dxfId="166" priority="217" operator="containsText" text="A">
      <formula>NOT(ISERROR(SEARCH("A",D247)))</formula>
    </cfRule>
    <cfRule type="containsText" dxfId="165" priority="218" operator="containsText" text="D">
      <formula>NOT(ISERROR(SEARCH("D",D247)))</formula>
    </cfRule>
    <cfRule type="containsText" dxfId="164" priority="219" operator="containsText" text="V">
      <formula>NOT(ISERROR(SEARCH("V",D247)))</formula>
    </cfRule>
  </conditionalFormatting>
  <conditionalFormatting sqref="AJ271:AJ275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{23086ED9-BAFE-4BEE-BA13-B3B3E0068FB7}</x14:id>
        </ext>
      </extLst>
    </cfRule>
  </conditionalFormatting>
  <conditionalFormatting sqref="D271:AH272">
    <cfRule type="containsText" dxfId="163" priority="211" operator="containsText" text="OFF">
      <formula>NOT(ISERROR(SEARCH("OFF",D271)))</formula>
    </cfRule>
    <cfRule type="containsText" dxfId="162" priority="212" operator="containsText" text="A">
      <formula>NOT(ISERROR(SEARCH("A",D271)))</formula>
    </cfRule>
    <cfRule type="containsText" dxfId="161" priority="213" operator="containsText" text="D">
      <formula>NOT(ISERROR(SEARCH("D",D271)))</formula>
    </cfRule>
    <cfRule type="containsText" dxfId="160" priority="214" operator="containsText" text="V">
      <formula>NOT(ISERROR(SEARCH("V",D271)))</formula>
    </cfRule>
  </conditionalFormatting>
  <conditionalFormatting sqref="D273:AH273">
    <cfRule type="containsText" dxfId="159" priority="206" operator="containsText" text="OFF">
      <formula>NOT(ISERROR(SEARCH("OFF",D273)))</formula>
    </cfRule>
    <cfRule type="containsText" dxfId="158" priority="207" operator="containsText" text="A">
      <formula>NOT(ISERROR(SEARCH("A",D273)))</formula>
    </cfRule>
    <cfRule type="containsText" dxfId="157" priority="208" operator="containsText" text="D">
      <formula>NOT(ISERROR(SEARCH("D",D273)))</formula>
    </cfRule>
    <cfRule type="containsText" dxfId="156" priority="209" operator="containsText" text="V">
      <formula>NOT(ISERROR(SEARCH("V",D273)))</formula>
    </cfRule>
  </conditionalFormatting>
  <conditionalFormatting sqref="AJ297:AJ298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{DB59C3BC-3D88-4CD1-A323-E097046A6CC7}</x14:id>
        </ext>
      </extLst>
    </cfRule>
  </conditionalFormatting>
  <conditionalFormatting sqref="D297:AH298">
    <cfRule type="containsText" dxfId="155" priority="201" operator="containsText" text="OFF">
      <formula>NOT(ISERROR(SEARCH("OFF",D297)))</formula>
    </cfRule>
    <cfRule type="containsText" dxfId="154" priority="202" operator="containsText" text="A">
      <formula>NOT(ISERROR(SEARCH("A",D297)))</formula>
    </cfRule>
    <cfRule type="containsText" dxfId="153" priority="203" operator="containsText" text="D">
      <formula>NOT(ISERROR(SEARCH("D",D297)))</formula>
    </cfRule>
    <cfRule type="containsText" dxfId="152" priority="204" operator="containsText" text="V">
      <formula>NOT(ISERROR(SEARCH("V",D297)))</formula>
    </cfRule>
  </conditionalFormatting>
  <conditionalFormatting sqref="AJ299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{9B7D1369-B796-44FC-819E-1D1C76C23E27}</x14:id>
        </ext>
      </extLst>
    </cfRule>
  </conditionalFormatting>
  <conditionalFormatting sqref="D299:AH299">
    <cfRule type="containsText" dxfId="151" priority="196" operator="containsText" text="OFF">
      <formula>NOT(ISERROR(SEARCH("OFF",D299)))</formula>
    </cfRule>
    <cfRule type="containsText" dxfId="150" priority="197" operator="containsText" text="A">
      <formula>NOT(ISERROR(SEARCH("A",D299)))</formula>
    </cfRule>
    <cfRule type="containsText" dxfId="149" priority="198" operator="containsText" text="D">
      <formula>NOT(ISERROR(SEARCH("D",D299)))</formula>
    </cfRule>
    <cfRule type="containsText" dxfId="148" priority="199" operator="containsText" text="V">
      <formula>NOT(ISERROR(SEARCH("V",D299)))</formula>
    </cfRule>
  </conditionalFormatting>
  <conditionalFormatting sqref="D151:AH151">
    <cfRule type="containsText" dxfId="147" priority="191" operator="containsText" text="OFF">
      <formula>NOT(ISERROR(SEARCH("OFF",D151)))</formula>
    </cfRule>
    <cfRule type="containsText" dxfId="146" priority="192" operator="containsText" text="A">
      <formula>NOT(ISERROR(SEARCH("A",D151)))</formula>
    </cfRule>
    <cfRule type="containsText" dxfId="145" priority="193" operator="containsText" text="D">
      <formula>NOT(ISERROR(SEARCH("D",D151)))</formula>
    </cfRule>
    <cfRule type="containsText" dxfId="144" priority="194" operator="containsText" text="V">
      <formula>NOT(ISERROR(SEARCH("V",D151)))</formula>
    </cfRule>
  </conditionalFormatting>
  <conditionalFormatting sqref="AJ151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{DBB8E0A9-B261-427A-AC8B-18E6A081BA61}</x14:id>
        </ext>
      </extLst>
    </cfRule>
  </conditionalFormatting>
  <conditionalFormatting sqref="AJ153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{F5880FD9-5B48-4F8A-8DC3-7C03BEF49944}</x14:id>
        </ext>
      </extLst>
    </cfRule>
  </conditionalFormatting>
  <conditionalFormatting sqref="D153:AH153">
    <cfRule type="containsText" dxfId="143" priority="186" operator="containsText" text="OFF">
      <formula>NOT(ISERROR(SEARCH("OFF",D153)))</formula>
    </cfRule>
    <cfRule type="containsText" dxfId="142" priority="187" operator="containsText" text="A">
      <formula>NOT(ISERROR(SEARCH("A",D153)))</formula>
    </cfRule>
    <cfRule type="containsText" dxfId="141" priority="188" operator="containsText" text="D">
      <formula>NOT(ISERROR(SEARCH("D",D153)))</formula>
    </cfRule>
    <cfRule type="containsText" dxfId="140" priority="189" operator="containsText" text="V">
      <formula>NOT(ISERROR(SEARCH("V",D153)))</formula>
    </cfRule>
  </conditionalFormatting>
  <conditionalFormatting sqref="AJ201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{5F7F7E7F-89AA-4F32-85CA-0F7AF5E98646}</x14:id>
        </ext>
      </extLst>
    </cfRule>
  </conditionalFormatting>
  <conditionalFormatting sqref="D201:AH201">
    <cfRule type="containsText" dxfId="139" priority="181" operator="containsText" text="OFF">
      <formula>NOT(ISERROR(SEARCH("OFF",D201)))</formula>
    </cfRule>
    <cfRule type="containsText" dxfId="138" priority="182" operator="containsText" text="A">
      <formula>NOT(ISERROR(SEARCH("A",D201)))</formula>
    </cfRule>
    <cfRule type="containsText" dxfId="137" priority="183" operator="containsText" text="D">
      <formula>NOT(ISERROR(SEARCH("D",D201)))</formula>
    </cfRule>
    <cfRule type="containsText" dxfId="136" priority="184" operator="containsText" text="V">
      <formula>NOT(ISERROR(SEARCH("V",D201)))</formula>
    </cfRule>
  </conditionalFormatting>
  <conditionalFormatting sqref="D178:AG178">
    <cfRule type="containsText" dxfId="135" priority="172" operator="containsText" text="OFF">
      <formula>NOT(ISERROR(SEARCH("OFF",D178)))</formula>
    </cfRule>
    <cfRule type="containsText" dxfId="134" priority="173" operator="containsText" text="A">
      <formula>NOT(ISERROR(SEARCH("A",D178)))</formula>
    </cfRule>
    <cfRule type="containsText" dxfId="133" priority="174" operator="containsText" text="D">
      <formula>NOT(ISERROR(SEARCH("D",D178)))</formula>
    </cfRule>
    <cfRule type="containsText" dxfId="132" priority="175" operator="containsText" text="V">
      <formula>NOT(ISERROR(SEARCH("V",D178)))</formula>
    </cfRule>
  </conditionalFormatting>
  <conditionalFormatting sqref="AJ178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{8D36595B-1E80-4B84-BFAC-252A4BDEEA60}</x14:id>
        </ext>
      </extLst>
    </cfRule>
  </conditionalFormatting>
  <conditionalFormatting sqref="AH178">
    <cfRule type="containsText" dxfId="131" priority="176" operator="containsText" text="OFF">
      <formula>NOT(ISERROR(SEARCH("OFF",AH178)))</formula>
    </cfRule>
    <cfRule type="containsText" dxfId="130" priority="177" operator="containsText" text="A">
      <formula>NOT(ISERROR(SEARCH("A",AH178)))</formula>
    </cfRule>
    <cfRule type="containsText" dxfId="129" priority="178" operator="containsText" text="D">
      <formula>NOT(ISERROR(SEARCH("D",AH178)))</formula>
    </cfRule>
    <cfRule type="containsText" dxfId="128" priority="179" operator="containsText" text="V">
      <formula>NOT(ISERROR(SEARCH("V",AH178)))</formula>
    </cfRule>
  </conditionalFormatting>
  <conditionalFormatting sqref="AJ18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{36E36E02-9889-4973-A9F5-30B5A1C8D4A0}</x14:id>
        </ext>
      </extLst>
    </cfRule>
  </conditionalFormatting>
  <conditionalFormatting sqref="AH180">
    <cfRule type="containsText" dxfId="127" priority="167" operator="containsText" text="OFF">
      <formula>NOT(ISERROR(SEARCH("OFF",AH180)))</formula>
    </cfRule>
    <cfRule type="containsText" dxfId="126" priority="168" operator="containsText" text="A">
      <formula>NOT(ISERROR(SEARCH("A",AH180)))</formula>
    </cfRule>
    <cfRule type="containsText" dxfId="125" priority="169" operator="containsText" text="D">
      <formula>NOT(ISERROR(SEARCH("D",AH180)))</formula>
    </cfRule>
    <cfRule type="containsText" dxfId="124" priority="170" operator="containsText" text="V">
      <formula>NOT(ISERROR(SEARCH("V",AH180)))</formula>
    </cfRule>
  </conditionalFormatting>
  <conditionalFormatting sqref="D180:AG180">
    <cfRule type="containsText" dxfId="123" priority="163" operator="containsText" text="OFF">
      <formula>NOT(ISERROR(SEARCH("OFF",D180)))</formula>
    </cfRule>
    <cfRule type="containsText" dxfId="122" priority="164" operator="containsText" text="A">
      <formula>NOT(ISERROR(SEARCH("A",D180)))</formula>
    </cfRule>
    <cfRule type="containsText" dxfId="121" priority="165" operator="containsText" text="D">
      <formula>NOT(ISERROR(SEARCH("D",D180)))</formula>
    </cfRule>
    <cfRule type="containsText" dxfId="120" priority="166" operator="containsText" text="V">
      <formula>NOT(ISERROR(SEARCH("V",D180)))</formula>
    </cfRule>
  </conditionalFormatting>
  <conditionalFormatting sqref="D174:AH174">
    <cfRule type="containsText" dxfId="119" priority="158" operator="containsText" text="OFF">
      <formula>NOT(ISERROR(SEARCH("OFF",D174)))</formula>
    </cfRule>
    <cfRule type="containsText" dxfId="118" priority="159" operator="containsText" text="A">
      <formula>NOT(ISERROR(SEARCH("A",D174)))</formula>
    </cfRule>
    <cfRule type="containsText" dxfId="117" priority="160" operator="containsText" text="D">
      <formula>NOT(ISERROR(SEARCH("D",D174)))</formula>
    </cfRule>
    <cfRule type="containsText" dxfId="116" priority="161" operator="containsText" text="V">
      <formula>NOT(ISERROR(SEARCH("V",D174)))</formula>
    </cfRule>
  </conditionalFormatting>
  <conditionalFormatting sqref="AJ174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{95F5A85C-EAA9-4BFA-94E0-7D267C6C82BF}</x14:id>
        </ext>
      </extLst>
    </cfRule>
  </conditionalFormatting>
  <conditionalFormatting sqref="AJ165:AJ173 AJ179 AJ175:AJ177 AJ181:AJ188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{C2B66C54-E329-4AA6-B884-8E8DFA0F31DC}</x14:id>
        </ext>
      </extLst>
    </cfRule>
  </conditionalFormatting>
  <conditionalFormatting sqref="D206:AH206">
    <cfRule type="containsText" dxfId="115" priority="153" operator="containsText" text="OFF">
      <formula>NOT(ISERROR(SEARCH("OFF",D206)))</formula>
    </cfRule>
    <cfRule type="containsText" dxfId="114" priority="154" operator="containsText" text="A">
      <formula>NOT(ISERROR(SEARCH("A",D206)))</formula>
    </cfRule>
    <cfRule type="containsText" dxfId="113" priority="155" operator="containsText" text="D">
      <formula>NOT(ISERROR(SEARCH("D",D206)))</formula>
    </cfRule>
    <cfRule type="containsText" dxfId="112" priority="156" operator="containsText" text="V">
      <formula>NOT(ISERROR(SEARCH("V",D206)))</formula>
    </cfRule>
  </conditionalFormatting>
  <conditionalFormatting sqref="D227:AH227">
    <cfRule type="containsText" dxfId="111" priority="148" operator="containsText" text="OFF">
      <formula>NOT(ISERROR(SEARCH("OFF",D227)))</formula>
    </cfRule>
    <cfRule type="containsText" dxfId="110" priority="149" operator="containsText" text="A">
      <formula>NOT(ISERROR(SEARCH("A",D227)))</formula>
    </cfRule>
    <cfRule type="containsText" dxfId="109" priority="150" operator="containsText" text="D">
      <formula>NOT(ISERROR(SEARCH("D",D227)))</formula>
    </cfRule>
    <cfRule type="containsText" dxfId="108" priority="151" operator="containsText" text="V">
      <formula>NOT(ISERROR(SEARCH("V",D227)))</formula>
    </cfRule>
  </conditionalFormatting>
  <conditionalFormatting sqref="D232:AH232">
    <cfRule type="containsText" dxfId="107" priority="143" operator="containsText" text="OFF">
      <formula>NOT(ISERROR(SEARCH("OFF",D232)))</formula>
    </cfRule>
    <cfRule type="containsText" dxfId="106" priority="144" operator="containsText" text="A">
      <formula>NOT(ISERROR(SEARCH("A",D232)))</formula>
    </cfRule>
    <cfRule type="containsText" dxfId="105" priority="145" operator="containsText" text="D">
      <formula>NOT(ISERROR(SEARCH("D",D232)))</formula>
    </cfRule>
    <cfRule type="containsText" dxfId="104" priority="146" operator="containsText" text="V">
      <formula>NOT(ISERROR(SEARCH("V",D232)))</formula>
    </cfRule>
  </conditionalFormatting>
  <conditionalFormatting sqref="AF253:AH253">
    <cfRule type="containsText" dxfId="103" priority="138" operator="containsText" text="OFF">
      <formula>NOT(ISERROR(SEARCH("OFF",AF253)))</formula>
    </cfRule>
    <cfRule type="containsText" dxfId="102" priority="139" operator="containsText" text="A">
      <formula>NOT(ISERROR(SEARCH("A",AF253)))</formula>
    </cfRule>
    <cfRule type="containsText" dxfId="101" priority="140" operator="containsText" text="D">
      <formula>NOT(ISERROR(SEARCH("D",AF253)))</formula>
    </cfRule>
    <cfRule type="containsText" dxfId="100" priority="141" operator="containsText" text="V">
      <formula>NOT(ISERROR(SEARCH("V",AF253)))</formula>
    </cfRule>
  </conditionalFormatting>
  <conditionalFormatting sqref="D253:AE253">
    <cfRule type="containsText" dxfId="99" priority="134" operator="containsText" text="OFF">
      <formula>NOT(ISERROR(SEARCH("OFF",D253)))</formula>
    </cfRule>
    <cfRule type="containsText" dxfId="98" priority="135" operator="containsText" text="A">
      <formula>NOT(ISERROR(SEARCH("A",D253)))</formula>
    </cfRule>
    <cfRule type="containsText" dxfId="97" priority="136" operator="containsText" text="D">
      <formula>NOT(ISERROR(SEARCH("D",D253)))</formula>
    </cfRule>
    <cfRule type="containsText" dxfId="96" priority="137" operator="containsText" text="V">
      <formula>NOT(ISERROR(SEARCH("V",D253)))</formula>
    </cfRule>
  </conditionalFormatting>
  <conditionalFormatting sqref="D258:AH258">
    <cfRule type="containsText" dxfId="95" priority="129" operator="containsText" text="OFF">
      <formula>NOT(ISERROR(SEARCH("OFF",D258)))</formula>
    </cfRule>
    <cfRule type="containsText" dxfId="94" priority="130" operator="containsText" text="A">
      <formula>NOT(ISERROR(SEARCH("A",D258)))</formula>
    </cfRule>
    <cfRule type="containsText" dxfId="93" priority="131" operator="containsText" text="D">
      <formula>NOT(ISERROR(SEARCH("D",D258)))</formula>
    </cfRule>
    <cfRule type="containsText" dxfId="92" priority="132" operator="containsText" text="V">
      <formula>NOT(ISERROR(SEARCH("V",D258)))</formula>
    </cfRule>
  </conditionalFormatting>
  <conditionalFormatting sqref="AJ258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{AC745F13-66A4-44B2-98D7-A65F09E76B41}</x14:id>
        </ext>
      </extLst>
    </cfRule>
  </conditionalFormatting>
  <conditionalFormatting sqref="AJ284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{542C85C1-FC3A-4403-83A5-9D7D42071487}</x14:id>
        </ext>
      </extLst>
    </cfRule>
  </conditionalFormatting>
  <conditionalFormatting sqref="D284:AH284">
    <cfRule type="containsText" dxfId="91" priority="124" operator="containsText" text="OFF">
      <formula>NOT(ISERROR(SEARCH("OFF",D284)))</formula>
    </cfRule>
    <cfRule type="containsText" dxfId="90" priority="125" operator="containsText" text="A">
      <formula>NOT(ISERROR(SEARCH("A",D284)))</formula>
    </cfRule>
    <cfRule type="containsText" dxfId="89" priority="126" operator="containsText" text="D">
      <formula>NOT(ISERROR(SEARCH("D",D284)))</formula>
    </cfRule>
    <cfRule type="containsText" dxfId="88" priority="127" operator="containsText" text="V">
      <formula>NOT(ISERROR(SEARCH("V",D284)))</formula>
    </cfRule>
  </conditionalFormatting>
  <conditionalFormatting sqref="AJ279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{1D791AB6-BF1A-41B0-841A-34EFF1478618}</x14:id>
        </ext>
      </extLst>
    </cfRule>
  </conditionalFormatting>
  <conditionalFormatting sqref="AJ30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{F2602CF1-830C-49D0-8535-EC8570EDAFE1}</x14:id>
        </ext>
      </extLst>
    </cfRule>
  </conditionalFormatting>
  <conditionalFormatting sqref="D305:AH305">
    <cfRule type="containsText" dxfId="83" priority="114" operator="containsText" text="OFF">
      <formula>NOT(ISERROR(SEARCH("OFF",D305)))</formula>
    </cfRule>
    <cfRule type="containsText" dxfId="82" priority="115" operator="containsText" text="A">
      <formula>NOT(ISERROR(SEARCH("A",D305)))</formula>
    </cfRule>
    <cfRule type="containsText" dxfId="81" priority="116" operator="containsText" text="D">
      <formula>NOT(ISERROR(SEARCH("D",D305)))</formula>
    </cfRule>
    <cfRule type="containsText" dxfId="80" priority="117" operator="containsText" text="V">
      <formula>NOT(ISERROR(SEARCH("V",D305)))</formula>
    </cfRule>
  </conditionalFormatting>
  <conditionalFormatting sqref="AJ308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{FCF4CF5E-7C6F-4412-9701-D4038DA7F2B0}</x14:id>
        </ext>
      </extLst>
    </cfRule>
  </conditionalFormatting>
  <conditionalFormatting sqref="D308:AH308">
    <cfRule type="containsText" dxfId="79" priority="109" operator="containsText" text="OFF">
      <formula>NOT(ISERROR(SEARCH("OFF",D308)))</formula>
    </cfRule>
    <cfRule type="containsText" dxfId="78" priority="110" operator="containsText" text="A">
      <formula>NOT(ISERROR(SEARCH("A",D308)))</formula>
    </cfRule>
    <cfRule type="containsText" dxfId="77" priority="111" operator="containsText" text="D">
      <formula>NOT(ISERROR(SEARCH("D",D308)))</formula>
    </cfRule>
    <cfRule type="containsText" dxfId="76" priority="112" operator="containsText" text="V">
      <formula>NOT(ISERROR(SEARCH("V",D308)))</formula>
    </cfRule>
  </conditionalFormatting>
  <conditionalFormatting sqref="D310:AH310">
    <cfRule type="containsText" dxfId="75" priority="104" operator="containsText" text="OFF">
      <formula>NOT(ISERROR(SEARCH("OFF",D310)))</formula>
    </cfRule>
    <cfRule type="containsText" dxfId="74" priority="105" operator="containsText" text="A">
      <formula>NOT(ISERROR(SEARCH("A",D310)))</formula>
    </cfRule>
    <cfRule type="containsText" dxfId="73" priority="106" operator="containsText" text="D">
      <formula>NOT(ISERROR(SEARCH("D",D310)))</formula>
    </cfRule>
    <cfRule type="containsText" dxfId="72" priority="107" operator="containsText" text="V">
      <formula>NOT(ISERROR(SEARCH("V",D310)))</formula>
    </cfRule>
  </conditionalFormatting>
  <conditionalFormatting sqref="AJ31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{29FCFDD6-47CF-47FB-B3D1-B3EEA496A705}</x14:id>
        </ext>
      </extLst>
    </cfRule>
  </conditionalFormatting>
  <conditionalFormatting sqref="D282:AH282">
    <cfRule type="containsText" dxfId="71" priority="94" operator="containsText" text="OFF">
      <formula>NOT(ISERROR(SEARCH("OFF",D282)))</formula>
    </cfRule>
    <cfRule type="containsText" dxfId="70" priority="95" operator="containsText" text="A">
      <formula>NOT(ISERROR(SEARCH("A",D282)))</formula>
    </cfRule>
    <cfRule type="containsText" dxfId="69" priority="96" operator="containsText" text="D">
      <formula>NOT(ISERROR(SEARCH("D",D282)))</formula>
    </cfRule>
    <cfRule type="containsText" dxfId="68" priority="97" operator="containsText" text="V">
      <formula>NOT(ISERROR(SEARCH("V",D282)))</formula>
    </cfRule>
  </conditionalFormatting>
  <conditionalFormatting sqref="AJ282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{144FD1BA-DD8C-492C-813A-074105AEB08B}</x14:id>
        </ext>
      </extLst>
    </cfRule>
  </conditionalFormatting>
  <conditionalFormatting sqref="D204:AH204">
    <cfRule type="containsText" dxfId="67" priority="89" operator="containsText" text="OFF">
      <formula>NOT(ISERROR(SEARCH("OFF",D204)))</formula>
    </cfRule>
    <cfRule type="containsText" dxfId="66" priority="90" operator="containsText" text="A">
      <formula>NOT(ISERROR(SEARCH("A",D204)))</formula>
    </cfRule>
    <cfRule type="containsText" dxfId="65" priority="91" operator="containsText" text="D">
      <formula>NOT(ISERROR(SEARCH("D",D204)))</formula>
    </cfRule>
    <cfRule type="containsText" dxfId="64" priority="92" operator="containsText" text="V">
      <formula>NOT(ISERROR(SEARCH("V",D204)))</formula>
    </cfRule>
  </conditionalFormatting>
  <conditionalFormatting sqref="AJ204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{0B3C0017-BF8E-4017-9AD5-700C46ADCE2B}</x14:id>
        </ext>
      </extLst>
    </cfRule>
  </conditionalFormatting>
  <conditionalFormatting sqref="D213:AH213">
    <cfRule type="containsText" dxfId="63" priority="84" operator="containsText" text="OFF">
      <formula>NOT(ISERROR(SEARCH("OFF",D213)))</formula>
    </cfRule>
    <cfRule type="containsText" dxfId="62" priority="85" operator="containsText" text="A">
      <formula>NOT(ISERROR(SEARCH("A",D213)))</formula>
    </cfRule>
    <cfRule type="containsText" dxfId="61" priority="86" operator="containsText" text="D">
      <formula>NOT(ISERROR(SEARCH("D",D213)))</formula>
    </cfRule>
    <cfRule type="containsText" dxfId="60" priority="87" operator="containsText" text="V">
      <formula>NOT(ISERROR(SEARCH("V",D213)))</formula>
    </cfRule>
  </conditionalFormatting>
  <conditionalFormatting sqref="AJ198:AJ200 AJ192 AJ202:AJ203 AJ205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{C8A11E11-EF80-4FBD-8333-4889FC0B2093}</x14:id>
        </ext>
      </extLst>
    </cfRule>
  </conditionalFormatting>
  <conditionalFormatting sqref="D230:AH230">
    <cfRule type="containsText" dxfId="59" priority="79" operator="containsText" text="OFF">
      <formula>NOT(ISERROR(SEARCH("OFF",D230)))</formula>
    </cfRule>
    <cfRule type="containsText" dxfId="58" priority="80" operator="containsText" text="A">
      <formula>NOT(ISERROR(SEARCH("A",D230)))</formula>
    </cfRule>
    <cfRule type="containsText" dxfId="57" priority="81" operator="containsText" text="D">
      <formula>NOT(ISERROR(SEARCH("D",D230)))</formula>
    </cfRule>
    <cfRule type="containsText" dxfId="56" priority="82" operator="containsText" text="V">
      <formula>NOT(ISERROR(SEARCH("V",D230)))</formula>
    </cfRule>
  </conditionalFormatting>
  <conditionalFormatting sqref="D239:AH239">
    <cfRule type="containsText" dxfId="55" priority="74" operator="containsText" text="OFF">
      <formula>NOT(ISERROR(SEARCH("OFF",D239)))</formula>
    </cfRule>
    <cfRule type="containsText" dxfId="54" priority="75" operator="containsText" text="A">
      <formula>NOT(ISERROR(SEARCH("A",D239)))</formula>
    </cfRule>
    <cfRule type="containsText" dxfId="53" priority="76" operator="containsText" text="D">
      <formula>NOT(ISERROR(SEARCH("D",D239)))</formula>
    </cfRule>
    <cfRule type="containsText" dxfId="52" priority="77" operator="containsText" text="V">
      <formula>NOT(ISERROR(SEARCH("V",D239)))</formula>
    </cfRule>
  </conditionalFormatting>
  <conditionalFormatting sqref="D256:AE256">
    <cfRule type="containsText" dxfId="51" priority="65" operator="containsText" text="OFF">
      <formula>NOT(ISERROR(SEARCH("OFF",D256)))</formula>
    </cfRule>
    <cfRule type="containsText" dxfId="50" priority="66" operator="containsText" text="A">
      <formula>NOT(ISERROR(SEARCH("A",D256)))</formula>
    </cfRule>
    <cfRule type="containsText" dxfId="49" priority="67" operator="containsText" text="D">
      <formula>NOT(ISERROR(SEARCH("D",D256)))</formula>
    </cfRule>
    <cfRule type="containsText" dxfId="48" priority="68" operator="containsText" text="V">
      <formula>NOT(ISERROR(SEARCH("V",D256)))</formula>
    </cfRule>
  </conditionalFormatting>
  <conditionalFormatting sqref="AJ256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{B36B0B70-2E83-44DF-9CC0-5E2B121393E4}</x14:id>
        </ext>
      </extLst>
    </cfRule>
  </conditionalFormatting>
  <conditionalFormatting sqref="AF256:AH256">
    <cfRule type="containsText" dxfId="47" priority="69" operator="containsText" text="OFF">
      <formula>NOT(ISERROR(SEARCH("OFF",AF256)))</formula>
    </cfRule>
    <cfRule type="containsText" dxfId="46" priority="70" operator="containsText" text="A">
      <formula>NOT(ISERROR(SEARCH("A",AF256)))</formula>
    </cfRule>
    <cfRule type="containsText" dxfId="45" priority="71" operator="containsText" text="D">
      <formula>NOT(ISERROR(SEARCH("D",AF256)))</formula>
    </cfRule>
    <cfRule type="containsText" dxfId="44" priority="72" operator="containsText" text="V">
      <formula>NOT(ISERROR(SEARCH("V",AF256)))</formula>
    </cfRule>
  </conditionalFormatting>
  <conditionalFormatting sqref="D265:AH265">
    <cfRule type="containsText" dxfId="43" priority="60" operator="containsText" text="OFF">
      <formula>NOT(ISERROR(SEARCH("OFF",D265)))</formula>
    </cfRule>
    <cfRule type="containsText" dxfId="42" priority="61" operator="containsText" text="A">
      <formula>NOT(ISERROR(SEARCH("A",D265)))</formula>
    </cfRule>
    <cfRule type="containsText" dxfId="41" priority="62" operator="containsText" text="D">
      <formula>NOT(ISERROR(SEARCH("D",D265)))</formula>
    </cfRule>
    <cfRule type="containsText" dxfId="40" priority="63" operator="containsText" text="V">
      <formula>NOT(ISERROR(SEARCH("V",D265)))</formula>
    </cfRule>
  </conditionalFormatting>
  <conditionalFormatting sqref="AJ257 AJ244 AJ250:AJ255 AJ259:AJ266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{C5A916C1-2AC2-4563-BF5B-9BA920219F00}</x14:id>
        </ext>
      </extLst>
    </cfRule>
  </conditionalFormatting>
  <conditionalFormatting sqref="D291:AH291">
    <cfRule type="containsText" dxfId="39" priority="55" operator="containsText" text="OFF">
      <formula>NOT(ISERROR(SEARCH("OFF",D291)))</formula>
    </cfRule>
    <cfRule type="containsText" dxfId="38" priority="56" operator="containsText" text="A">
      <formula>NOT(ISERROR(SEARCH("A",D291)))</formula>
    </cfRule>
    <cfRule type="containsText" dxfId="37" priority="57" operator="containsText" text="D">
      <formula>NOT(ISERROR(SEARCH("D",D291)))</formula>
    </cfRule>
    <cfRule type="containsText" dxfId="36" priority="58" operator="containsText" text="V">
      <formula>NOT(ISERROR(SEARCH("V",D291)))</formula>
    </cfRule>
  </conditionalFormatting>
  <conditionalFormatting sqref="AJ276:AJ278 AJ270 AJ280:AJ281 AJ283 AJ285:AJ292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{3A0F97E5-F295-4BD7-A52A-68E471BD9B9A}</x14:id>
        </ext>
      </extLst>
    </cfRule>
  </conditionalFormatting>
  <conditionalFormatting sqref="D316:AH316">
    <cfRule type="containsText" dxfId="35" priority="50" operator="containsText" text="OFF">
      <formula>NOT(ISERROR(SEARCH("OFF",D316)))</formula>
    </cfRule>
    <cfRule type="containsText" dxfId="34" priority="51" operator="containsText" text="A">
      <formula>NOT(ISERROR(SEARCH("A",D316)))</formula>
    </cfRule>
    <cfRule type="containsText" dxfId="33" priority="52" operator="containsText" text="D">
      <formula>NOT(ISERROR(SEARCH("D",D316)))</formula>
    </cfRule>
    <cfRule type="containsText" dxfId="32" priority="53" operator="containsText" text="V">
      <formula>NOT(ISERROR(SEARCH("V",D316)))</formula>
    </cfRule>
  </conditionalFormatting>
  <conditionalFormatting sqref="AJ31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{90456985-8EC7-44EE-AB4E-418E8430D5E7}</x14:id>
        </ext>
      </extLst>
    </cfRule>
  </conditionalFormatting>
  <conditionalFormatting sqref="AJ300:AJ304 AJ317 AJ309 AJ296 AJ306:AJ307 AJ311:AJ312 AJ314:AJ315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{2F7702C7-BF86-4C6F-AC57-F8FFD15ECF5B}</x14:id>
        </ext>
      </extLst>
    </cfRule>
  </conditionalFormatting>
  <conditionalFormatting sqref="D158:AH158">
    <cfRule type="containsText" dxfId="31" priority="45" operator="containsText" text="OFF">
      <formula>NOT(ISERROR(SEARCH("OFF",D158)))</formula>
    </cfRule>
    <cfRule type="containsText" dxfId="30" priority="46" operator="containsText" text="A">
      <formula>NOT(ISERROR(SEARCH("A",D158)))</formula>
    </cfRule>
    <cfRule type="containsText" dxfId="29" priority="47" operator="containsText" text="D">
      <formula>NOT(ISERROR(SEARCH("D",D158)))</formula>
    </cfRule>
    <cfRule type="containsText" dxfId="28" priority="48" operator="containsText" text="V">
      <formula>NOT(ISERROR(SEARCH("V",D158)))</formula>
    </cfRule>
  </conditionalFormatting>
  <conditionalFormatting sqref="AJ158:AJ161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{11AE36C0-58E2-4514-BA9E-A3E0A1E4D563}</x14:id>
        </ext>
      </extLst>
    </cfRule>
  </conditionalFormatting>
  <conditionalFormatting sqref="D160:AH160">
    <cfRule type="containsText" dxfId="27" priority="40" operator="containsText" text="OFF">
      <formula>NOT(ISERROR(SEARCH("OFF",D160)))</formula>
    </cfRule>
    <cfRule type="containsText" dxfId="26" priority="41" operator="containsText" text="A">
      <formula>NOT(ISERROR(SEARCH("A",D160)))</formula>
    </cfRule>
    <cfRule type="containsText" dxfId="25" priority="42" operator="containsText" text="D">
      <formula>NOT(ISERROR(SEARCH("D",D160)))</formula>
    </cfRule>
    <cfRule type="containsText" dxfId="24" priority="43" operator="containsText" text="V">
      <formula>NOT(ISERROR(SEARCH("V",D160)))</formula>
    </cfRule>
  </conditionalFormatting>
  <conditionalFormatting sqref="AJ145:AJ150 AJ152 AJ139 AJ154:AJ157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{C62BEFD4-4043-448D-B89E-8291D44EC951}</x14:id>
        </ext>
      </extLst>
    </cfRule>
  </conditionalFormatting>
  <conditionalFormatting sqref="AJ206:AJ214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{0E0126A0-9F5C-4ED8-96D5-4706E896C68C}</x14:id>
        </ext>
      </extLst>
    </cfRule>
  </conditionalFormatting>
  <conditionalFormatting sqref="D235:G235 K235:P235">
    <cfRule type="containsText" dxfId="23" priority="35" operator="containsText" text="OFF">
      <formula>NOT(ISERROR(SEARCH("OFF",D235)))</formula>
    </cfRule>
    <cfRule type="containsText" dxfId="22" priority="36" operator="containsText" text="A">
      <formula>NOT(ISERROR(SEARCH("A",D235)))</formula>
    </cfRule>
    <cfRule type="containsText" dxfId="21" priority="37" operator="containsText" text="D">
      <formula>NOT(ISERROR(SEARCH("D",D235)))</formula>
    </cfRule>
    <cfRule type="containsText" dxfId="20" priority="38" operator="containsText" text="V">
      <formula>NOT(ISERROR(SEARCH("V",D235)))</formula>
    </cfRule>
  </conditionalFormatting>
  <conditionalFormatting sqref="G261:L261 P261:U261 AF261:AH261 Y261:AD261">
    <cfRule type="containsText" dxfId="19" priority="30" operator="containsText" text="OFF">
      <formula>NOT(ISERROR(SEARCH("OFF",G261)))</formula>
    </cfRule>
    <cfRule type="containsText" dxfId="18" priority="31" operator="containsText" text="A">
      <formula>NOT(ISERROR(SEARCH("A",G261)))</formula>
    </cfRule>
    <cfRule type="containsText" dxfId="17" priority="32" operator="containsText" text="D">
      <formula>NOT(ISERROR(SEARCH("D",G261)))</formula>
    </cfRule>
    <cfRule type="containsText" dxfId="16" priority="33" operator="containsText" text="V">
      <formula>NOT(ISERROR(SEARCH("V",G261)))</formula>
    </cfRule>
  </conditionalFormatting>
  <conditionalFormatting sqref="D313:AH313">
    <cfRule type="containsText" dxfId="15" priority="20" operator="containsText" text="OFF">
      <formula>NOT(ISERROR(SEARCH("OFF",D313)))</formula>
    </cfRule>
    <cfRule type="containsText" dxfId="14" priority="21" operator="containsText" text="A">
      <formula>NOT(ISERROR(SEARCH("A",D313)))</formula>
    </cfRule>
    <cfRule type="containsText" dxfId="13" priority="22" operator="containsText" text="D">
      <formula>NOT(ISERROR(SEARCH("D",D313)))</formula>
    </cfRule>
    <cfRule type="containsText" dxfId="12" priority="23" operator="containsText" text="V">
      <formula>NOT(ISERROR(SEARCH("V",D313)))</formula>
    </cfRule>
  </conditionalFormatting>
  <conditionalFormatting sqref="AJ31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{44024F9D-50BE-4588-A1B7-14826723DD75}</x14:id>
        </ext>
      </extLst>
    </cfRule>
  </conditionalFormatting>
  <conditionalFormatting sqref="D183:AH183">
    <cfRule type="containsText" dxfId="11" priority="15" operator="containsText" text="OFF">
      <formula>NOT(ISERROR(SEARCH("OFF",D183)))</formula>
    </cfRule>
    <cfRule type="containsText" dxfId="10" priority="16" operator="containsText" text="A">
      <formula>NOT(ISERROR(SEARCH("A",D183)))</formula>
    </cfRule>
    <cfRule type="containsText" dxfId="9" priority="17" operator="containsText" text="D">
      <formula>NOT(ISERROR(SEARCH("D",D183)))</formula>
    </cfRule>
    <cfRule type="containsText" dxfId="8" priority="18" operator="containsText" text="V">
      <formula>NOT(ISERROR(SEARCH("V",D183)))</formula>
    </cfRule>
  </conditionalFormatting>
  <conditionalFormatting sqref="AJ224:AJ240 AJ218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{FBB2BBE5-B9D0-4E3B-A2FF-78ADE6A855D7}</x14:id>
        </ext>
      </extLst>
    </cfRule>
  </conditionalFormatting>
  <conditionalFormatting sqref="D156 F156:AH156">
    <cfRule type="containsText" dxfId="7" priority="10" operator="containsText" text="OFF">
      <formula>NOT(ISERROR(SEARCH("OFF",D156)))</formula>
    </cfRule>
    <cfRule type="containsText" dxfId="6" priority="11" operator="containsText" text="A">
      <formula>NOT(ISERROR(SEARCH("A",D156)))</formula>
    </cfRule>
    <cfRule type="containsText" dxfId="5" priority="12" operator="containsText" text="D">
      <formula>NOT(ISERROR(SEARCH("D",D156)))</formula>
    </cfRule>
    <cfRule type="containsText" dxfId="4" priority="13" operator="containsText" text="V">
      <formula>NOT(ISERROR(SEARCH("V",D156)))</formula>
    </cfRule>
  </conditionalFormatting>
  <conditionalFormatting sqref="D134:AG134">
    <cfRule type="containsText" dxfId="3" priority="1" operator="containsText" text="OFF">
      <formula>NOT(ISERROR(SEARCH("OFF",D134)))</formula>
    </cfRule>
    <cfRule type="containsText" dxfId="2" priority="2" operator="containsText" text="A">
      <formula>NOT(ISERROR(SEARCH("A",D134)))</formula>
    </cfRule>
    <cfRule type="containsText" dxfId="1" priority="3" operator="containsText" text="D">
      <formula>NOT(ISERROR(SEARCH("D",D134)))</formula>
    </cfRule>
    <cfRule type="containsText" dxfId="0" priority="4" operator="containsText" text="V">
      <formula>NOT(ISERROR(SEARCH("V",D134)))</formula>
    </cfRule>
  </conditionalFormatting>
  <conditionalFormatting sqref="AJ120:AJ126 AJ114 AJ128:AJ135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{416F0033-E10A-47E6-8A72-0952577DDD42}</x14:id>
        </ext>
      </extLst>
    </cfRule>
  </conditionalFormatting>
  <pageMargins left="0.31496062992125984" right="0.15748031496062992" top="0.51181102362204722" bottom="0.27559055118110237" header="0.31496062992125984" footer="0.23622047244094491"/>
  <pageSetup paperSize="8" scale="60" fitToHeight="0" orientation="portrait" r:id="rId1"/>
  <headerFooter>
    <oddHeader>&amp;L&amp;"Calibri"&amp;10&amp;K000000Sensitivity: Internal&amp;1#</oddHead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F32B40-CC14-4C76-B393-78632656F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AJ12</xm:sqref>
        </x14:conditionalFormatting>
        <x14:conditionalFormatting xmlns:xm="http://schemas.microsoft.com/office/excel/2006/main">
          <x14:cfRule type="dataBar" id="{6EE45127-EB58-4FF0-B0AA-4E817396AB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AJ26:AJ36 AJ38:AJ43</xm:sqref>
        </x14:conditionalFormatting>
        <x14:conditionalFormatting xmlns:xm="http://schemas.microsoft.com/office/excel/2006/main">
          <x14:cfRule type="dataBar" id="{B20F1BDB-65DA-4BD9-B159-53375EE1D7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AJ47:AJ57 AJ59:AJ64</xm:sqref>
        </x14:conditionalFormatting>
        <x14:conditionalFormatting xmlns:xm="http://schemas.microsoft.com/office/excel/2006/main">
          <x14:cfRule type="dataBar" id="{1C8FB538-7110-4999-9BF6-EA8F54A775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AJ82:AJ87 AJ68 AJ74:AJ80</xm:sqref>
        </x14:conditionalFormatting>
        <x14:conditionalFormatting xmlns:xm="http://schemas.microsoft.com/office/excel/2006/main">
          <x14:cfRule type="dataBar" id="{8D48885C-0F11-4C9A-8DFE-486F5DA674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AJ105:AJ110 AJ91 AJ97:AJ103</xm:sqref>
        </x14:conditionalFormatting>
        <x14:conditionalFormatting xmlns:xm="http://schemas.microsoft.com/office/excel/2006/main">
          <x14:cfRule type="dataBar" id="{9AAD3CE2-5CC4-4AD2-A09D-2C4F7EE3C0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AJ5:AJ11 AJ13:AJ15 AJ17:AJ22</xm:sqref>
        </x14:conditionalFormatting>
        <x14:conditionalFormatting xmlns:xm="http://schemas.microsoft.com/office/excel/2006/main">
          <x14:cfRule type="dataBar" id="{6AE6ACA8-8C0F-46A5-AD46-96D142803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AJ16</xm:sqref>
        </x14:conditionalFormatting>
        <x14:conditionalFormatting xmlns:xm="http://schemas.microsoft.com/office/excel/2006/main">
          <x14:cfRule type="dataBar" id="{2AA4A822-4135-4197-8362-F9E4BB0A3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AJ37</xm:sqref>
        </x14:conditionalFormatting>
        <x14:conditionalFormatting xmlns:xm="http://schemas.microsoft.com/office/excel/2006/main">
          <x14:cfRule type="dataBar" id="{9A4069EC-F9E3-4CE4-9225-B630B1DE2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AJ58</xm:sqref>
        </x14:conditionalFormatting>
        <x14:conditionalFormatting xmlns:xm="http://schemas.microsoft.com/office/excel/2006/main">
          <x14:cfRule type="dataBar" id="{856626B0-2AD8-4862-8CD8-156E3AC1C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AJ81</xm:sqref>
        </x14:conditionalFormatting>
        <x14:conditionalFormatting xmlns:xm="http://schemas.microsoft.com/office/excel/2006/main">
          <x14:cfRule type="dataBar" id="{178CA173-AB7F-4F31-B5E1-7F06B4AE5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AJ104</xm:sqref>
        </x14:conditionalFormatting>
        <x14:conditionalFormatting xmlns:xm="http://schemas.microsoft.com/office/excel/2006/main">
          <x14:cfRule type="dataBar" id="{FF2CDC7B-B3E0-4F1D-BCB6-D138BCC727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AJ127</xm:sqref>
        </x14:conditionalFormatting>
        <x14:conditionalFormatting xmlns:xm="http://schemas.microsoft.com/office/excel/2006/main">
          <x14:cfRule type="dataBar" id="{C688D765-1C0A-4AD7-BA0D-88CFDE3C4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AJ69:AJ73</xm:sqref>
        </x14:conditionalFormatting>
        <x14:conditionalFormatting xmlns:xm="http://schemas.microsoft.com/office/excel/2006/main">
          <x14:cfRule type="dataBar" id="{B37F3CBB-A31D-436B-A3CB-86DE71029C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AJ92:AJ96</xm:sqref>
        </x14:conditionalFormatting>
        <x14:conditionalFormatting xmlns:xm="http://schemas.microsoft.com/office/excel/2006/main">
          <x14:cfRule type="dataBar" id="{2D53CEAD-1855-416E-9166-833455538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AJ115:AJ119</xm:sqref>
        </x14:conditionalFormatting>
        <x14:conditionalFormatting xmlns:xm="http://schemas.microsoft.com/office/excel/2006/main">
          <x14:cfRule type="dataBar" id="{4FD2A847-FCEC-4CF2-949E-26C94C415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AJ140:AJ144</xm:sqref>
        </x14:conditionalFormatting>
        <x14:conditionalFormatting xmlns:xm="http://schemas.microsoft.com/office/excel/2006/main">
          <x14:cfRule type="dataBar" id="{92452CAF-8521-434E-8136-10FADEE77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AJ193:AJ197</xm:sqref>
        </x14:conditionalFormatting>
        <x14:conditionalFormatting xmlns:xm="http://schemas.microsoft.com/office/excel/2006/main">
          <x14:cfRule type="dataBar" id="{10B078E7-3DC2-4A59-B378-05DADAD9D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AJ219:AJ223</xm:sqref>
        </x14:conditionalFormatting>
        <x14:conditionalFormatting xmlns:xm="http://schemas.microsoft.com/office/excel/2006/main">
          <x14:cfRule type="dataBar" id="{B3C14E44-7F03-4D7D-97A6-305519213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AJ245:AJ249</xm:sqref>
        </x14:conditionalFormatting>
        <x14:conditionalFormatting xmlns:xm="http://schemas.microsoft.com/office/excel/2006/main">
          <x14:cfRule type="dataBar" id="{23086ED9-BAFE-4BEE-BA13-B3B3E0068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AJ271:AJ275</xm:sqref>
        </x14:conditionalFormatting>
        <x14:conditionalFormatting xmlns:xm="http://schemas.microsoft.com/office/excel/2006/main">
          <x14:cfRule type="dataBar" id="{DB59C3BC-3D88-4CD1-A323-E097046A6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AJ297:AJ298</xm:sqref>
        </x14:conditionalFormatting>
        <x14:conditionalFormatting xmlns:xm="http://schemas.microsoft.com/office/excel/2006/main">
          <x14:cfRule type="dataBar" id="{9B7D1369-B796-44FC-819E-1D1C76C23E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AJ299</xm:sqref>
        </x14:conditionalFormatting>
        <x14:conditionalFormatting xmlns:xm="http://schemas.microsoft.com/office/excel/2006/main">
          <x14:cfRule type="dataBar" id="{DBB8E0A9-B261-427A-AC8B-18E6A081B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AJ151</xm:sqref>
        </x14:conditionalFormatting>
        <x14:conditionalFormatting xmlns:xm="http://schemas.microsoft.com/office/excel/2006/main">
          <x14:cfRule type="dataBar" id="{F5880FD9-5B48-4F8A-8DC3-7C03BEF49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AJ153</xm:sqref>
        </x14:conditionalFormatting>
        <x14:conditionalFormatting xmlns:xm="http://schemas.microsoft.com/office/excel/2006/main">
          <x14:cfRule type="dataBar" id="{5F7F7E7F-89AA-4F32-85CA-0F7AF5E986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AJ201</xm:sqref>
        </x14:conditionalFormatting>
        <x14:conditionalFormatting xmlns:xm="http://schemas.microsoft.com/office/excel/2006/main">
          <x14:cfRule type="dataBar" id="{8D36595B-1E80-4B84-BFAC-252A4BDEEA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AJ178</xm:sqref>
        </x14:conditionalFormatting>
        <x14:conditionalFormatting xmlns:xm="http://schemas.microsoft.com/office/excel/2006/main">
          <x14:cfRule type="dataBar" id="{36E36E02-9889-4973-A9F5-30B5A1C8D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AJ180</xm:sqref>
        </x14:conditionalFormatting>
        <x14:conditionalFormatting xmlns:xm="http://schemas.microsoft.com/office/excel/2006/main">
          <x14:cfRule type="dataBar" id="{95F5A85C-EAA9-4BFA-94E0-7D267C6C8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AJ174</xm:sqref>
        </x14:conditionalFormatting>
        <x14:conditionalFormatting xmlns:xm="http://schemas.microsoft.com/office/excel/2006/main">
          <x14:cfRule type="dataBar" id="{C2B66C54-E329-4AA6-B884-8E8DFA0F31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AJ165:AJ173 AJ179 AJ175:AJ177 AJ181:AJ188</xm:sqref>
        </x14:conditionalFormatting>
        <x14:conditionalFormatting xmlns:xm="http://schemas.microsoft.com/office/excel/2006/main">
          <x14:cfRule type="dataBar" id="{AC745F13-66A4-44B2-98D7-A65F09E76B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AJ258</xm:sqref>
        </x14:conditionalFormatting>
        <x14:conditionalFormatting xmlns:xm="http://schemas.microsoft.com/office/excel/2006/main">
          <x14:cfRule type="dataBar" id="{542C85C1-FC3A-4403-83A5-9D7D420714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AJ284</xm:sqref>
        </x14:conditionalFormatting>
        <x14:conditionalFormatting xmlns:xm="http://schemas.microsoft.com/office/excel/2006/main">
          <x14:cfRule type="dataBar" id="{1D791AB6-BF1A-41B0-841A-34EFF14786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AJ279</xm:sqref>
        </x14:conditionalFormatting>
        <x14:conditionalFormatting xmlns:xm="http://schemas.microsoft.com/office/excel/2006/main">
          <x14:cfRule type="dataBar" id="{F2602CF1-830C-49D0-8535-EC8570EDAF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AJ305</xm:sqref>
        </x14:conditionalFormatting>
        <x14:conditionalFormatting xmlns:xm="http://schemas.microsoft.com/office/excel/2006/main">
          <x14:cfRule type="dataBar" id="{FCF4CF5E-7C6F-4412-9701-D4038DA7F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AJ308</xm:sqref>
        </x14:conditionalFormatting>
        <x14:conditionalFormatting xmlns:xm="http://schemas.microsoft.com/office/excel/2006/main">
          <x14:cfRule type="dataBar" id="{29FCFDD6-47CF-47FB-B3D1-B3EEA496A7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AJ310</xm:sqref>
        </x14:conditionalFormatting>
        <x14:conditionalFormatting xmlns:xm="http://schemas.microsoft.com/office/excel/2006/main">
          <x14:cfRule type="dataBar" id="{144FD1BA-DD8C-492C-813A-074105AEB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AJ282</xm:sqref>
        </x14:conditionalFormatting>
        <x14:conditionalFormatting xmlns:xm="http://schemas.microsoft.com/office/excel/2006/main">
          <x14:cfRule type="dataBar" id="{0B3C0017-BF8E-4017-9AD5-700C46ADCE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AJ204</xm:sqref>
        </x14:conditionalFormatting>
        <x14:conditionalFormatting xmlns:xm="http://schemas.microsoft.com/office/excel/2006/main">
          <x14:cfRule type="dataBar" id="{C8A11E11-EF80-4FBD-8333-4889FC0B20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AJ198:AJ200 AJ192 AJ202:AJ203 AJ205</xm:sqref>
        </x14:conditionalFormatting>
        <x14:conditionalFormatting xmlns:xm="http://schemas.microsoft.com/office/excel/2006/main">
          <x14:cfRule type="dataBar" id="{B36B0B70-2E83-44DF-9CC0-5E2B121393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AJ256</xm:sqref>
        </x14:conditionalFormatting>
        <x14:conditionalFormatting xmlns:xm="http://schemas.microsoft.com/office/excel/2006/main">
          <x14:cfRule type="dataBar" id="{C5A916C1-2AC2-4563-BF5B-9BA920219F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AJ257 AJ244 AJ250:AJ255 AJ259:AJ266</xm:sqref>
        </x14:conditionalFormatting>
        <x14:conditionalFormatting xmlns:xm="http://schemas.microsoft.com/office/excel/2006/main">
          <x14:cfRule type="dataBar" id="{3A0F97E5-F295-4BD7-A52A-68E471BD9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AJ276:AJ278 AJ270 AJ280:AJ281 AJ283 AJ285:AJ292</xm:sqref>
        </x14:conditionalFormatting>
        <x14:conditionalFormatting xmlns:xm="http://schemas.microsoft.com/office/excel/2006/main">
          <x14:cfRule type="dataBar" id="{90456985-8EC7-44EE-AB4E-418E8430D5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AJ316</xm:sqref>
        </x14:conditionalFormatting>
        <x14:conditionalFormatting xmlns:xm="http://schemas.microsoft.com/office/excel/2006/main">
          <x14:cfRule type="dataBar" id="{2F7702C7-BF86-4C6F-AC57-F8FFD15ECF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AJ300:AJ304 AJ317 AJ309 AJ296 AJ306:AJ307 AJ311:AJ312 AJ314:AJ315</xm:sqref>
        </x14:conditionalFormatting>
        <x14:conditionalFormatting xmlns:xm="http://schemas.microsoft.com/office/excel/2006/main">
          <x14:cfRule type="dataBar" id="{11AE36C0-58E2-4514-BA9E-A3E0A1E4D5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AJ158:AJ161</xm:sqref>
        </x14:conditionalFormatting>
        <x14:conditionalFormatting xmlns:xm="http://schemas.microsoft.com/office/excel/2006/main">
          <x14:cfRule type="dataBar" id="{C62BEFD4-4043-448D-B89E-8291D44EC9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AJ145:AJ150 AJ152 AJ139 AJ154:AJ157</xm:sqref>
        </x14:conditionalFormatting>
        <x14:conditionalFormatting xmlns:xm="http://schemas.microsoft.com/office/excel/2006/main">
          <x14:cfRule type="dataBar" id="{0E0126A0-9F5C-4ED8-96D5-4706E896C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AJ206:AJ214</xm:sqref>
        </x14:conditionalFormatting>
        <x14:conditionalFormatting xmlns:xm="http://schemas.microsoft.com/office/excel/2006/main">
          <x14:cfRule type="dataBar" id="{44024F9D-50BE-4588-A1B7-14826723DD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AJ313</xm:sqref>
        </x14:conditionalFormatting>
        <x14:conditionalFormatting xmlns:xm="http://schemas.microsoft.com/office/excel/2006/main">
          <x14:cfRule type="dataBar" id="{FBB2BBE5-B9D0-4E3B-A2FF-78ADE6A855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AJ224:AJ240 AJ218</xm:sqref>
        </x14:conditionalFormatting>
        <x14:conditionalFormatting xmlns:xm="http://schemas.microsoft.com/office/excel/2006/main">
          <x14:cfRule type="dataBar" id="{416F0033-E10A-47E6-8A72-0952577DDD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AJ120:AJ126 AJ114 AJ128:AJ135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QE CAMOLeavePlanner</vt:lpstr>
      <vt:lpstr>'QE CAMOLeavePlanner'!Print_Area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Elezabeth Thomas</dc:creator>
  <cp:lastModifiedBy>Elezabeth Thomas</cp:lastModifiedBy>
  <dcterms:created xsi:type="dcterms:W3CDTF">2025-03-03T10:51:04Z</dcterms:created>
  <dcterms:modified xsi:type="dcterms:W3CDTF">2026-03-26T12:52:41Z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4f6490-813c-4a34-8a7a-14dc06a3ce44_Enabled">
    <vt:lpwstr>true</vt:lpwstr>
  </property>
  <property fmtid="{D5CDD505-2E9C-101B-9397-08002B2CF9AE}" pid="3" name="MSIP_Label_db4f6490-813c-4a34-8a7a-14dc06a3ce44_SetDate">
    <vt:lpwstr>2025-09-17T02:29:53Z</vt:lpwstr>
  </property>
  <property fmtid="{D5CDD505-2E9C-101B-9397-08002B2CF9AE}" pid="4" name="MSIP_Label_db4f6490-813c-4a34-8a7a-14dc06a3ce44_Method">
    <vt:lpwstr>Standard</vt:lpwstr>
  </property>
  <property fmtid="{D5CDD505-2E9C-101B-9397-08002B2CF9AE}" pid="5" name="MSIP_Label_db4f6490-813c-4a34-8a7a-14dc06a3ce44_Name">
    <vt:lpwstr>Internal</vt:lpwstr>
  </property>
  <property fmtid="{D5CDD505-2E9C-101B-9397-08002B2CF9AE}" pid="6" name="MSIP_Label_db4f6490-813c-4a34-8a7a-14dc06a3ce44_SiteId">
    <vt:lpwstr>67872a37-cde9-4767-b06f-c252085e9982</vt:lpwstr>
  </property>
  <property fmtid="{D5CDD505-2E9C-101B-9397-08002B2CF9AE}" pid="7" name="MSIP_Label_db4f6490-813c-4a34-8a7a-14dc06a3ce44_ActionId">
    <vt:lpwstr>94a82676-e1a5-4d67-9115-eacbc5378480</vt:lpwstr>
  </property>
  <property fmtid="{D5CDD505-2E9C-101B-9397-08002B2CF9AE}" pid="8" name="MSIP_Label_db4f6490-813c-4a34-8a7a-14dc06a3ce44_ContentBits">
    <vt:lpwstr>1</vt:lpwstr>
  </property>
</Properties>
</file>